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MASTER\Quarter2\MVDCF\Temas 3, 4 y 5\"/>
    </mc:Choice>
  </mc:AlternateContent>
  <xr:revisionPtr revIDLastSave="0" documentId="13_ncr:1_{051855F0-CD6B-4BD0-A89A-D3A224564B8C}" xr6:coauthVersionLast="47" xr6:coauthVersionMax="47" xr10:uidLastSave="{00000000-0000-0000-0000-000000000000}"/>
  <bookViews>
    <workbookView xWindow="-108" yWindow="-108" windowWidth="23256" windowHeight="12456" firstSheet="1" activeTab="4" xr2:uid="{F4625287-0925-4402-A550-25A2E874DC40}"/>
  </bookViews>
  <sheets>
    <sheet name="Data" sheetId="1" r:id="rId1"/>
    <sheet name="BrentCrudeOilPrice" sheetId="2" r:id="rId2"/>
    <sheet name="MME" sheetId="3" r:id="rId3"/>
    <sheet name="MME_Plot" sheetId="4" r:id="rId4"/>
    <sheet name="HistMME_Combined" sheetId="6" r:id="rId5"/>
  </sheets>
  <definedNames>
    <definedName name="DatosExternos_1" localSheetId="1" hidden="1">BrentCrudeOilPrice!$A$1:$E$503</definedName>
    <definedName name="DeltaT">MME!$T$2</definedName>
    <definedName name="FromOrganiz_1">_xlfn.ANCHORARRAY(Data!$A$1)</definedName>
    <definedName name="Mu">MME!$U$2</definedName>
    <definedName name="n">MME!$R$2</definedName>
    <definedName name="sigma">MME!$V$2</definedName>
    <definedName name="U">MME!$S$2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K2" i="3"/>
  <c r="N2" i="3" s="1"/>
  <c r="K3" i="3"/>
  <c r="K4" i="3"/>
  <c r="K5" i="3"/>
  <c r="K6" i="3"/>
  <c r="K7" i="3"/>
  <c r="K8" i="3"/>
  <c r="M8" i="3" s="1"/>
  <c r="K9" i="3"/>
  <c r="K10" i="3"/>
  <c r="K11" i="3"/>
  <c r="K12" i="3"/>
  <c r="K13" i="3"/>
  <c r="K14" i="3"/>
  <c r="K15" i="3"/>
  <c r="K16" i="3"/>
  <c r="M16" i="3" s="1"/>
  <c r="K17" i="3"/>
  <c r="K18" i="3"/>
  <c r="K19" i="3"/>
  <c r="K20" i="3"/>
  <c r="K21" i="3"/>
  <c r="K22" i="3"/>
  <c r="K23" i="3"/>
  <c r="K24" i="3"/>
  <c r="M24" i="3" s="1"/>
  <c r="K25" i="3"/>
  <c r="K26" i="3"/>
  <c r="K27" i="3"/>
  <c r="K28" i="3"/>
  <c r="K29" i="3"/>
  <c r="K30" i="3"/>
  <c r="K31" i="3"/>
  <c r="K32" i="3"/>
  <c r="M32" i="3" s="1"/>
  <c r="K33" i="3"/>
  <c r="K34" i="3"/>
  <c r="K35" i="3"/>
  <c r="K36" i="3"/>
  <c r="K37" i="3"/>
  <c r="K38" i="3"/>
  <c r="K39" i="3"/>
  <c r="K40" i="3"/>
  <c r="M40" i="3" s="1"/>
  <c r="K41" i="3"/>
  <c r="K42" i="3"/>
  <c r="K43" i="3"/>
  <c r="K44" i="3"/>
  <c r="K45" i="3"/>
  <c r="K46" i="3"/>
  <c r="K47" i="3"/>
  <c r="K48" i="3"/>
  <c r="M48" i="3" s="1"/>
  <c r="K49" i="3"/>
  <c r="K50" i="3"/>
  <c r="K51" i="3"/>
  <c r="K52" i="3"/>
  <c r="K53" i="3"/>
  <c r="K54" i="3"/>
  <c r="K55" i="3"/>
  <c r="K56" i="3"/>
  <c r="M56" i="3" s="1"/>
  <c r="K57" i="3"/>
  <c r="K58" i="3"/>
  <c r="K59" i="3"/>
  <c r="K60" i="3"/>
  <c r="K61" i="3"/>
  <c r="K62" i="3"/>
  <c r="K63" i="3"/>
  <c r="K64" i="3"/>
  <c r="M64" i="3" s="1"/>
  <c r="K65" i="3"/>
  <c r="K66" i="3"/>
  <c r="K67" i="3"/>
  <c r="K68" i="3"/>
  <c r="K69" i="3"/>
  <c r="K70" i="3"/>
  <c r="K71" i="3"/>
  <c r="K72" i="3"/>
  <c r="M72" i="3" s="1"/>
  <c r="K73" i="3"/>
  <c r="K74" i="3"/>
  <c r="K75" i="3"/>
  <c r="K76" i="3"/>
  <c r="K77" i="3"/>
  <c r="K78" i="3"/>
  <c r="K79" i="3"/>
  <c r="K80" i="3"/>
  <c r="M80" i="3" s="1"/>
  <c r="K81" i="3"/>
  <c r="K82" i="3"/>
  <c r="K83" i="3"/>
  <c r="K84" i="3"/>
  <c r="K85" i="3"/>
  <c r="K86" i="3"/>
  <c r="K87" i="3"/>
  <c r="K88" i="3"/>
  <c r="M88" i="3" s="1"/>
  <c r="K89" i="3"/>
  <c r="K90" i="3"/>
  <c r="K91" i="3"/>
  <c r="K92" i="3"/>
  <c r="K93" i="3"/>
  <c r="K94" i="3"/>
  <c r="K95" i="3"/>
  <c r="K96" i="3"/>
  <c r="M96" i="3" s="1"/>
  <c r="K97" i="3"/>
  <c r="K98" i="3"/>
  <c r="K99" i="3"/>
  <c r="K100" i="3"/>
  <c r="K101" i="3"/>
  <c r="K102" i="3"/>
  <c r="K103" i="3"/>
  <c r="K104" i="3"/>
  <c r="M104" i="3" s="1"/>
  <c r="K105" i="3"/>
  <c r="K106" i="3"/>
  <c r="K107" i="3"/>
  <c r="K108" i="3"/>
  <c r="K109" i="3"/>
  <c r="K110" i="3"/>
  <c r="K111" i="3"/>
  <c r="K112" i="3"/>
  <c r="M112" i="3" s="1"/>
  <c r="K113" i="3"/>
  <c r="K114" i="3"/>
  <c r="K115" i="3"/>
  <c r="K116" i="3"/>
  <c r="K117" i="3"/>
  <c r="K118" i="3"/>
  <c r="K119" i="3"/>
  <c r="K120" i="3"/>
  <c r="M120" i="3" s="1"/>
  <c r="K121" i="3"/>
  <c r="K122" i="3"/>
  <c r="K123" i="3"/>
  <c r="K124" i="3"/>
  <c r="K125" i="3"/>
  <c r="K126" i="3"/>
  <c r="K127" i="3"/>
  <c r="K128" i="3"/>
  <c r="M128" i="3" s="1"/>
  <c r="K129" i="3"/>
  <c r="K130" i="3"/>
  <c r="K131" i="3"/>
  <c r="K132" i="3"/>
  <c r="K133" i="3"/>
  <c r="K134" i="3"/>
  <c r="K135" i="3"/>
  <c r="K136" i="3"/>
  <c r="M136" i="3" s="1"/>
  <c r="K137" i="3"/>
  <c r="K138" i="3"/>
  <c r="K139" i="3"/>
  <c r="K140" i="3"/>
  <c r="K141" i="3"/>
  <c r="K142" i="3"/>
  <c r="K143" i="3"/>
  <c r="K144" i="3"/>
  <c r="M144" i="3" s="1"/>
  <c r="K145" i="3"/>
  <c r="K146" i="3"/>
  <c r="K147" i="3"/>
  <c r="K148" i="3"/>
  <c r="K149" i="3"/>
  <c r="K150" i="3"/>
  <c r="K151" i="3"/>
  <c r="K152" i="3"/>
  <c r="M152" i="3" s="1"/>
  <c r="K153" i="3"/>
  <c r="K154" i="3"/>
  <c r="K155" i="3"/>
  <c r="K156" i="3"/>
  <c r="K157" i="3"/>
  <c r="K158" i="3"/>
  <c r="K159" i="3"/>
  <c r="K160" i="3"/>
  <c r="M160" i="3" s="1"/>
  <c r="K161" i="3"/>
  <c r="K162" i="3"/>
  <c r="K163" i="3"/>
  <c r="K164" i="3"/>
  <c r="K165" i="3"/>
  <c r="K166" i="3"/>
  <c r="K167" i="3"/>
  <c r="K168" i="3"/>
  <c r="M168" i="3" s="1"/>
  <c r="K169" i="3"/>
  <c r="K170" i="3"/>
  <c r="K171" i="3"/>
  <c r="K172" i="3"/>
  <c r="K173" i="3"/>
  <c r="K174" i="3"/>
  <c r="K175" i="3"/>
  <c r="K176" i="3"/>
  <c r="M176" i="3" s="1"/>
  <c r="K177" i="3"/>
  <c r="K178" i="3"/>
  <c r="K179" i="3"/>
  <c r="K180" i="3"/>
  <c r="K181" i="3"/>
  <c r="K182" i="3"/>
  <c r="K183" i="3"/>
  <c r="K184" i="3"/>
  <c r="M184" i="3" s="1"/>
  <c r="K185" i="3"/>
  <c r="K186" i="3"/>
  <c r="K187" i="3"/>
  <c r="K188" i="3"/>
  <c r="K189" i="3"/>
  <c r="K190" i="3"/>
  <c r="K191" i="3"/>
  <c r="K192" i="3"/>
  <c r="M192" i="3" s="1"/>
  <c r="K193" i="3"/>
  <c r="K194" i="3"/>
  <c r="K195" i="3"/>
  <c r="K196" i="3"/>
  <c r="K197" i="3"/>
  <c r="K198" i="3"/>
  <c r="K199" i="3"/>
  <c r="K200" i="3"/>
  <c r="M200" i="3" s="1"/>
  <c r="K201" i="3"/>
  <c r="K202" i="3"/>
  <c r="K203" i="3"/>
  <c r="K204" i="3"/>
  <c r="K205" i="3"/>
  <c r="K206" i="3"/>
  <c r="K207" i="3"/>
  <c r="K208" i="3"/>
  <c r="M208" i="3" s="1"/>
  <c r="K209" i="3"/>
  <c r="K210" i="3"/>
  <c r="K211" i="3"/>
  <c r="K212" i="3"/>
  <c r="K213" i="3"/>
  <c r="K214" i="3"/>
  <c r="K215" i="3"/>
  <c r="K216" i="3"/>
  <c r="M216" i="3" s="1"/>
  <c r="K217" i="3"/>
  <c r="K218" i="3"/>
  <c r="K219" i="3"/>
  <c r="K220" i="3"/>
  <c r="K221" i="3"/>
  <c r="K222" i="3"/>
  <c r="K223" i="3"/>
  <c r="K224" i="3"/>
  <c r="M224" i="3" s="1"/>
  <c r="K225" i="3"/>
  <c r="K226" i="3"/>
  <c r="K227" i="3"/>
  <c r="K228" i="3"/>
  <c r="K229" i="3"/>
  <c r="K230" i="3"/>
  <c r="K231" i="3"/>
  <c r="K232" i="3"/>
  <c r="M232" i="3" s="1"/>
  <c r="K233" i="3"/>
  <c r="K234" i="3"/>
  <c r="K235" i="3"/>
  <c r="K236" i="3"/>
  <c r="K237" i="3"/>
  <c r="K238" i="3"/>
  <c r="K239" i="3"/>
  <c r="K240" i="3"/>
  <c r="M240" i="3" s="1"/>
  <c r="K241" i="3"/>
  <c r="K242" i="3"/>
  <c r="K243" i="3"/>
  <c r="K244" i="3"/>
  <c r="K245" i="3"/>
  <c r="K246" i="3"/>
  <c r="K247" i="3"/>
  <c r="K248" i="3"/>
  <c r="M248" i="3" s="1"/>
  <c r="K249" i="3"/>
  <c r="K250" i="3"/>
  <c r="K251" i="3"/>
  <c r="K252" i="3"/>
  <c r="K253" i="3"/>
  <c r="K254" i="3"/>
  <c r="K255" i="3"/>
  <c r="K256" i="3"/>
  <c r="M256" i="3" s="1"/>
  <c r="K257" i="3"/>
  <c r="K258" i="3"/>
  <c r="K259" i="3"/>
  <c r="K260" i="3"/>
  <c r="K261" i="3"/>
  <c r="K262" i="3"/>
  <c r="K263" i="3"/>
  <c r="K264" i="3"/>
  <c r="M264" i="3" s="1"/>
  <c r="K265" i="3"/>
  <c r="K266" i="3"/>
  <c r="K267" i="3"/>
  <c r="K268" i="3"/>
  <c r="K269" i="3"/>
  <c r="K270" i="3"/>
  <c r="K271" i="3"/>
  <c r="K272" i="3"/>
  <c r="M272" i="3" s="1"/>
  <c r="K273" i="3"/>
  <c r="K274" i="3"/>
  <c r="K275" i="3"/>
  <c r="K276" i="3"/>
  <c r="K277" i="3"/>
  <c r="K278" i="3"/>
  <c r="K279" i="3"/>
  <c r="K280" i="3"/>
  <c r="M280" i="3" s="1"/>
  <c r="K281" i="3"/>
  <c r="K282" i="3"/>
  <c r="K283" i="3"/>
  <c r="K284" i="3"/>
  <c r="K285" i="3"/>
  <c r="K286" i="3"/>
  <c r="K287" i="3"/>
  <c r="K288" i="3"/>
  <c r="M288" i="3" s="1"/>
  <c r="K289" i="3"/>
  <c r="K290" i="3"/>
  <c r="K291" i="3"/>
  <c r="K292" i="3"/>
  <c r="K293" i="3"/>
  <c r="K294" i="3"/>
  <c r="K295" i="3"/>
  <c r="K296" i="3"/>
  <c r="M296" i="3" s="1"/>
  <c r="K297" i="3"/>
  <c r="K298" i="3"/>
  <c r="K299" i="3"/>
  <c r="K300" i="3"/>
  <c r="K301" i="3"/>
  <c r="K302" i="3"/>
  <c r="K303" i="3"/>
  <c r="K304" i="3"/>
  <c r="M304" i="3" s="1"/>
  <c r="K305" i="3"/>
  <c r="K306" i="3"/>
  <c r="K307" i="3"/>
  <c r="K308" i="3"/>
  <c r="K309" i="3"/>
  <c r="K310" i="3"/>
  <c r="K311" i="3"/>
  <c r="K312" i="3"/>
  <c r="M312" i="3" s="1"/>
  <c r="K313" i="3"/>
  <c r="K314" i="3"/>
  <c r="K315" i="3"/>
  <c r="K316" i="3"/>
  <c r="K317" i="3"/>
  <c r="K318" i="3"/>
  <c r="K319" i="3"/>
  <c r="K320" i="3"/>
  <c r="M320" i="3" s="1"/>
  <c r="K321" i="3"/>
  <c r="K322" i="3"/>
  <c r="K323" i="3"/>
  <c r="K324" i="3"/>
  <c r="K325" i="3"/>
  <c r="K326" i="3"/>
  <c r="K327" i="3"/>
  <c r="K328" i="3"/>
  <c r="M328" i="3" s="1"/>
  <c r="K329" i="3"/>
  <c r="K330" i="3"/>
  <c r="K331" i="3"/>
  <c r="K332" i="3"/>
  <c r="K333" i="3"/>
  <c r="K334" i="3"/>
  <c r="K335" i="3"/>
  <c r="K336" i="3"/>
  <c r="M336" i="3" s="1"/>
  <c r="K337" i="3"/>
  <c r="K338" i="3"/>
  <c r="K339" i="3"/>
  <c r="K340" i="3"/>
  <c r="K341" i="3"/>
  <c r="K342" i="3"/>
  <c r="K343" i="3"/>
  <c r="K344" i="3"/>
  <c r="M344" i="3" s="1"/>
  <c r="K345" i="3"/>
  <c r="K346" i="3"/>
  <c r="K347" i="3"/>
  <c r="K348" i="3"/>
  <c r="K349" i="3"/>
  <c r="K350" i="3"/>
  <c r="K351" i="3"/>
  <c r="K352" i="3"/>
  <c r="M352" i="3" s="1"/>
  <c r="K353" i="3"/>
  <c r="K354" i="3"/>
  <c r="K355" i="3"/>
  <c r="K356" i="3"/>
  <c r="K357" i="3"/>
  <c r="K358" i="3"/>
  <c r="K359" i="3"/>
  <c r="K360" i="3"/>
  <c r="M360" i="3" s="1"/>
  <c r="K361" i="3"/>
  <c r="K362" i="3"/>
  <c r="K363" i="3"/>
  <c r="K364" i="3"/>
  <c r="K365" i="3"/>
  <c r="K366" i="3"/>
  <c r="K367" i="3"/>
  <c r="K368" i="3"/>
  <c r="M368" i="3" s="1"/>
  <c r="K369" i="3"/>
  <c r="K370" i="3"/>
  <c r="K371" i="3"/>
  <c r="K372" i="3"/>
  <c r="K373" i="3"/>
  <c r="K374" i="3"/>
  <c r="K375" i="3"/>
  <c r="K376" i="3"/>
  <c r="M376" i="3" s="1"/>
  <c r="K377" i="3"/>
  <c r="K378" i="3"/>
  <c r="K379" i="3"/>
  <c r="K380" i="3"/>
  <c r="K381" i="3"/>
  <c r="K382" i="3"/>
  <c r="K383" i="3"/>
  <c r="K384" i="3"/>
  <c r="M384" i="3" s="1"/>
  <c r="K385" i="3"/>
  <c r="K386" i="3"/>
  <c r="K387" i="3"/>
  <c r="K388" i="3"/>
  <c r="K389" i="3"/>
  <c r="K390" i="3"/>
  <c r="K391" i="3"/>
  <c r="K392" i="3"/>
  <c r="M392" i="3" s="1"/>
  <c r="K393" i="3"/>
  <c r="K394" i="3"/>
  <c r="K395" i="3"/>
  <c r="K396" i="3"/>
  <c r="K397" i="3"/>
  <c r="K398" i="3"/>
  <c r="K399" i="3"/>
  <c r="K400" i="3"/>
  <c r="M400" i="3" s="1"/>
  <c r="K401" i="3"/>
  <c r="K402" i="3"/>
  <c r="K403" i="3"/>
  <c r="K404" i="3"/>
  <c r="K405" i="3"/>
  <c r="K406" i="3"/>
  <c r="K407" i="3"/>
  <c r="K408" i="3"/>
  <c r="M408" i="3" s="1"/>
  <c r="K409" i="3"/>
  <c r="K410" i="3"/>
  <c r="K411" i="3"/>
  <c r="K412" i="3"/>
  <c r="K413" i="3"/>
  <c r="K414" i="3"/>
  <c r="K415" i="3"/>
  <c r="K416" i="3"/>
  <c r="M416" i="3" s="1"/>
  <c r="K417" i="3"/>
  <c r="K418" i="3"/>
  <c r="K419" i="3"/>
  <c r="K420" i="3"/>
  <c r="K421" i="3"/>
  <c r="K422" i="3"/>
  <c r="K423" i="3"/>
  <c r="K424" i="3"/>
  <c r="M424" i="3" s="1"/>
  <c r="K425" i="3"/>
  <c r="K426" i="3"/>
  <c r="K427" i="3"/>
  <c r="K428" i="3"/>
  <c r="K429" i="3"/>
  <c r="K430" i="3"/>
  <c r="K431" i="3"/>
  <c r="K432" i="3"/>
  <c r="M432" i="3" s="1"/>
  <c r="K433" i="3"/>
  <c r="K434" i="3"/>
  <c r="K435" i="3"/>
  <c r="K436" i="3"/>
  <c r="K437" i="3"/>
  <c r="K438" i="3"/>
  <c r="K439" i="3"/>
  <c r="K440" i="3"/>
  <c r="M440" i="3" s="1"/>
  <c r="K441" i="3"/>
  <c r="K442" i="3"/>
  <c r="K443" i="3"/>
  <c r="K444" i="3"/>
  <c r="K445" i="3"/>
  <c r="K446" i="3"/>
  <c r="K447" i="3"/>
  <c r="K448" i="3"/>
  <c r="M448" i="3" s="1"/>
  <c r="K449" i="3"/>
  <c r="K450" i="3"/>
  <c r="K451" i="3"/>
  <c r="K452" i="3"/>
  <c r="K453" i="3"/>
  <c r="K454" i="3"/>
  <c r="K455" i="3"/>
  <c r="K456" i="3"/>
  <c r="M456" i="3" s="1"/>
  <c r="K457" i="3"/>
  <c r="K458" i="3"/>
  <c r="K459" i="3"/>
  <c r="K460" i="3"/>
  <c r="K461" i="3"/>
  <c r="K462" i="3"/>
  <c r="K463" i="3"/>
  <c r="K464" i="3"/>
  <c r="M464" i="3" s="1"/>
  <c r="K465" i="3"/>
  <c r="K466" i="3"/>
  <c r="K467" i="3"/>
  <c r="K468" i="3"/>
  <c r="K469" i="3"/>
  <c r="K470" i="3"/>
  <c r="K471" i="3"/>
  <c r="K472" i="3"/>
  <c r="M472" i="3" s="1"/>
  <c r="K473" i="3"/>
  <c r="K474" i="3"/>
  <c r="K475" i="3"/>
  <c r="K476" i="3"/>
  <c r="K477" i="3"/>
  <c r="K478" i="3"/>
  <c r="K479" i="3"/>
  <c r="K480" i="3"/>
  <c r="M480" i="3" s="1"/>
  <c r="K481" i="3"/>
  <c r="K482" i="3"/>
  <c r="K483" i="3"/>
  <c r="K484" i="3"/>
  <c r="K485" i="3"/>
  <c r="K486" i="3"/>
  <c r="K487" i="3"/>
  <c r="K488" i="3"/>
  <c r="M488" i="3" s="1"/>
  <c r="K489" i="3"/>
  <c r="K490" i="3"/>
  <c r="K491" i="3"/>
  <c r="K492" i="3"/>
  <c r="K493" i="3"/>
  <c r="K494" i="3"/>
  <c r="K495" i="3"/>
  <c r="K496" i="3"/>
  <c r="M496" i="3" s="1"/>
  <c r="K497" i="3"/>
  <c r="K498" i="3"/>
  <c r="K499" i="3"/>
  <c r="K500" i="3"/>
  <c r="K501" i="3"/>
  <c r="K502" i="3"/>
  <c r="K503" i="3"/>
  <c r="I2" i="3"/>
  <c r="H3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M3" i="3"/>
  <c r="M4" i="3"/>
  <c r="M5" i="3"/>
  <c r="M6" i="3"/>
  <c r="M7" i="3"/>
  <c r="M9" i="3"/>
  <c r="M10" i="3"/>
  <c r="M11" i="3"/>
  <c r="M12" i="3"/>
  <c r="M13" i="3"/>
  <c r="M14" i="3"/>
  <c r="M15" i="3"/>
  <c r="M17" i="3"/>
  <c r="M18" i="3"/>
  <c r="M19" i="3"/>
  <c r="M20" i="3"/>
  <c r="M21" i="3"/>
  <c r="M22" i="3"/>
  <c r="M23" i="3"/>
  <c r="M25" i="3"/>
  <c r="M26" i="3"/>
  <c r="M27" i="3"/>
  <c r="M28" i="3"/>
  <c r="M29" i="3"/>
  <c r="M30" i="3"/>
  <c r="M31" i="3"/>
  <c r="M33" i="3"/>
  <c r="M34" i="3"/>
  <c r="M35" i="3"/>
  <c r="M36" i="3"/>
  <c r="M37" i="3"/>
  <c r="M38" i="3"/>
  <c r="M39" i="3"/>
  <c r="M41" i="3"/>
  <c r="M42" i="3"/>
  <c r="M43" i="3"/>
  <c r="M44" i="3"/>
  <c r="M45" i="3"/>
  <c r="M46" i="3"/>
  <c r="M47" i="3"/>
  <c r="M49" i="3"/>
  <c r="M50" i="3"/>
  <c r="M51" i="3"/>
  <c r="M52" i="3"/>
  <c r="M53" i="3"/>
  <c r="M54" i="3"/>
  <c r="M55" i="3"/>
  <c r="M57" i="3"/>
  <c r="M58" i="3"/>
  <c r="M59" i="3"/>
  <c r="M60" i="3"/>
  <c r="M61" i="3"/>
  <c r="M62" i="3"/>
  <c r="M63" i="3"/>
  <c r="M65" i="3"/>
  <c r="M66" i="3"/>
  <c r="M67" i="3"/>
  <c r="M68" i="3"/>
  <c r="M69" i="3"/>
  <c r="M70" i="3"/>
  <c r="M71" i="3"/>
  <c r="M73" i="3"/>
  <c r="M74" i="3"/>
  <c r="M75" i="3"/>
  <c r="M76" i="3"/>
  <c r="M77" i="3"/>
  <c r="M78" i="3"/>
  <c r="M79" i="3"/>
  <c r="M81" i="3"/>
  <c r="M82" i="3"/>
  <c r="M83" i="3"/>
  <c r="M84" i="3"/>
  <c r="M85" i="3"/>
  <c r="M86" i="3"/>
  <c r="M87" i="3"/>
  <c r="M89" i="3"/>
  <c r="M90" i="3"/>
  <c r="M91" i="3"/>
  <c r="M92" i="3"/>
  <c r="M93" i="3"/>
  <c r="M94" i="3"/>
  <c r="M95" i="3"/>
  <c r="M97" i="3"/>
  <c r="M98" i="3"/>
  <c r="M99" i="3"/>
  <c r="M100" i="3"/>
  <c r="M101" i="3"/>
  <c r="M102" i="3"/>
  <c r="M103" i="3"/>
  <c r="M105" i="3"/>
  <c r="M106" i="3"/>
  <c r="M107" i="3"/>
  <c r="M108" i="3"/>
  <c r="M109" i="3"/>
  <c r="M110" i="3"/>
  <c r="M111" i="3"/>
  <c r="M113" i="3"/>
  <c r="M114" i="3"/>
  <c r="M115" i="3"/>
  <c r="M116" i="3"/>
  <c r="M117" i="3"/>
  <c r="M118" i="3"/>
  <c r="M119" i="3"/>
  <c r="M121" i="3"/>
  <c r="M122" i="3"/>
  <c r="M123" i="3"/>
  <c r="M124" i="3"/>
  <c r="M125" i="3"/>
  <c r="M126" i="3"/>
  <c r="M127" i="3"/>
  <c r="M129" i="3"/>
  <c r="M130" i="3"/>
  <c r="M131" i="3"/>
  <c r="M132" i="3"/>
  <c r="M133" i="3"/>
  <c r="M134" i="3"/>
  <c r="M135" i="3"/>
  <c r="M137" i="3"/>
  <c r="M138" i="3"/>
  <c r="M139" i="3"/>
  <c r="M140" i="3"/>
  <c r="M141" i="3"/>
  <c r="M142" i="3"/>
  <c r="M143" i="3"/>
  <c r="M145" i="3"/>
  <c r="M146" i="3"/>
  <c r="M147" i="3"/>
  <c r="M148" i="3"/>
  <c r="M149" i="3"/>
  <c r="M150" i="3"/>
  <c r="M151" i="3"/>
  <c r="M153" i="3"/>
  <c r="M154" i="3"/>
  <c r="M155" i="3"/>
  <c r="M156" i="3"/>
  <c r="M157" i="3"/>
  <c r="M158" i="3"/>
  <c r="M159" i="3"/>
  <c r="M161" i="3"/>
  <c r="M162" i="3"/>
  <c r="M163" i="3"/>
  <c r="M164" i="3"/>
  <c r="M165" i="3"/>
  <c r="M166" i="3"/>
  <c r="M167" i="3"/>
  <c r="M169" i="3"/>
  <c r="M170" i="3"/>
  <c r="M171" i="3"/>
  <c r="M172" i="3"/>
  <c r="M173" i="3"/>
  <c r="M174" i="3"/>
  <c r="M175" i="3"/>
  <c r="M177" i="3"/>
  <c r="M178" i="3"/>
  <c r="M179" i="3"/>
  <c r="M180" i="3"/>
  <c r="M181" i="3"/>
  <c r="M182" i="3"/>
  <c r="M183" i="3"/>
  <c r="M185" i="3"/>
  <c r="M186" i="3"/>
  <c r="M187" i="3"/>
  <c r="M188" i="3"/>
  <c r="M189" i="3"/>
  <c r="M190" i="3"/>
  <c r="M191" i="3"/>
  <c r="M193" i="3"/>
  <c r="M194" i="3"/>
  <c r="M195" i="3"/>
  <c r="M196" i="3"/>
  <c r="M197" i="3"/>
  <c r="M198" i="3"/>
  <c r="M199" i="3"/>
  <c r="M201" i="3"/>
  <c r="M202" i="3"/>
  <c r="M203" i="3"/>
  <c r="M204" i="3"/>
  <c r="M205" i="3"/>
  <c r="M206" i="3"/>
  <c r="M207" i="3"/>
  <c r="M209" i="3"/>
  <c r="M210" i="3"/>
  <c r="M211" i="3"/>
  <c r="M212" i="3"/>
  <c r="M213" i="3"/>
  <c r="M214" i="3"/>
  <c r="M215" i="3"/>
  <c r="M217" i="3"/>
  <c r="M218" i="3"/>
  <c r="M219" i="3"/>
  <c r="M220" i="3"/>
  <c r="M221" i="3"/>
  <c r="M222" i="3"/>
  <c r="M223" i="3"/>
  <c r="M225" i="3"/>
  <c r="M226" i="3"/>
  <c r="M227" i="3"/>
  <c r="M228" i="3"/>
  <c r="M229" i="3"/>
  <c r="M230" i="3"/>
  <c r="M231" i="3"/>
  <c r="M233" i="3"/>
  <c r="M234" i="3"/>
  <c r="M235" i="3"/>
  <c r="M236" i="3"/>
  <c r="M237" i="3"/>
  <c r="M238" i="3"/>
  <c r="M239" i="3"/>
  <c r="M241" i="3"/>
  <c r="M242" i="3"/>
  <c r="M243" i="3"/>
  <c r="M244" i="3"/>
  <c r="M245" i="3"/>
  <c r="M246" i="3"/>
  <c r="M247" i="3"/>
  <c r="M249" i="3"/>
  <c r="M250" i="3"/>
  <c r="M251" i="3"/>
  <c r="M252" i="3"/>
  <c r="M253" i="3"/>
  <c r="M254" i="3"/>
  <c r="M255" i="3"/>
  <c r="M257" i="3"/>
  <c r="M258" i="3"/>
  <c r="M259" i="3"/>
  <c r="M260" i="3"/>
  <c r="M261" i="3"/>
  <c r="M262" i="3"/>
  <c r="M263" i="3"/>
  <c r="M265" i="3"/>
  <c r="M266" i="3"/>
  <c r="M267" i="3"/>
  <c r="M268" i="3"/>
  <c r="M269" i="3"/>
  <c r="M270" i="3"/>
  <c r="M271" i="3"/>
  <c r="M273" i="3"/>
  <c r="M274" i="3"/>
  <c r="M275" i="3"/>
  <c r="M276" i="3"/>
  <c r="M277" i="3"/>
  <c r="M278" i="3"/>
  <c r="M279" i="3"/>
  <c r="M281" i="3"/>
  <c r="M282" i="3"/>
  <c r="M283" i="3"/>
  <c r="M284" i="3"/>
  <c r="M285" i="3"/>
  <c r="M286" i="3"/>
  <c r="M287" i="3"/>
  <c r="M289" i="3"/>
  <c r="M290" i="3"/>
  <c r="M291" i="3"/>
  <c r="M292" i="3"/>
  <c r="M293" i="3"/>
  <c r="M294" i="3"/>
  <c r="M295" i="3"/>
  <c r="M297" i="3"/>
  <c r="M298" i="3"/>
  <c r="M299" i="3"/>
  <c r="M300" i="3"/>
  <c r="M301" i="3"/>
  <c r="M302" i="3"/>
  <c r="M303" i="3"/>
  <c r="M305" i="3"/>
  <c r="M306" i="3"/>
  <c r="M307" i="3"/>
  <c r="M308" i="3"/>
  <c r="M309" i="3"/>
  <c r="M310" i="3"/>
  <c r="M311" i="3"/>
  <c r="M313" i="3"/>
  <c r="M314" i="3"/>
  <c r="M315" i="3"/>
  <c r="M316" i="3"/>
  <c r="M317" i="3"/>
  <c r="M318" i="3"/>
  <c r="M319" i="3"/>
  <c r="M321" i="3"/>
  <c r="M322" i="3"/>
  <c r="M323" i="3"/>
  <c r="M324" i="3"/>
  <c r="M325" i="3"/>
  <c r="M326" i="3"/>
  <c r="M327" i="3"/>
  <c r="M329" i="3"/>
  <c r="M330" i="3"/>
  <c r="M331" i="3"/>
  <c r="M332" i="3"/>
  <c r="M333" i="3"/>
  <c r="M334" i="3"/>
  <c r="M335" i="3"/>
  <c r="M337" i="3"/>
  <c r="M338" i="3"/>
  <c r="M339" i="3"/>
  <c r="M340" i="3"/>
  <c r="M341" i="3"/>
  <c r="M342" i="3"/>
  <c r="M343" i="3"/>
  <c r="M345" i="3"/>
  <c r="M346" i="3"/>
  <c r="M347" i="3"/>
  <c r="M348" i="3"/>
  <c r="M349" i="3"/>
  <c r="M350" i="3"/>
  <c r="M351" i="3"/>
  <c r="M353" i="3"/>
  <c r="M354" i="3"/>
  <c r="M355" i="3"/>
  <c r="M356" i="3"/>
  <c r="M357" i="3"/>
  <c r="M358" i="3"/>
  <c r="M359" i="3"/>
  <c r="M361" i="3"/>
  <c r="M362" i="3"/>
  <c r="M363" i="3"/>
  <c r="M364" i="3"/>
  <c r="M365" i="3"/>
  <c r="M366" i="3"/>
  <c r="M367" i="3"/>
  <c r="M369" i="3"/>
  <c r="M370" i="3"/>
  <c r="M371" i="3"/>
  <c r="M372" i="3"/>
  <c r="M373" i="3"/>
  <c r="M374" i="3"/>
  <c r="M375" i="3"/>
  <c r="M377" i="3"/>
  <c r="M378" i="3"/>
  <c r="M379" i="3"/>
  <c r="M380" i="3"/>
  <c r="M381" i="3"/>
  <c r="M382" i="3"/>
  <c r="M383" i="3"/>
  <c r="M385" i="3"/>
  <c r="M386" i="3"/>
  <c r="M387" i="3"/>
  <c r="M388" i="3"/>
  <c r="M389" i="3"/>
  <c r="M390" i="3"/>
  <c r="M391" i="3"/>
  <c r="M393" i="3"/>
  <c r="M394" i="3"/>
  <c r="M395" i="3"/>
  <c r="M396" i="3"/>
  <c r="M397" i="3"/>
  <c r="M398" i="3"/>
  <c r="M399" i="3"/>
  <c r="M401" i="3"/>
  <c r="M402" i="3"/>
  <c r="M403" i="3"/>
  <c r="M404" i="3"/>
  <c r="M405" i="3"/>
  <c r="M406" i="3"/>
  <c r="M407" i="3"/>
  <c r="M409" i="3"/>
  <c r="M410" i="3"/>
  <c r="M411" i="3"/>
  <c r="M412" i="3"/>
  <c r="M413" i="3"/>
  <c r="M414" i="3"/>
  <c r="M415" i="3"/>
  <c r="M417" i="3"/>
  <c r="M418" i="3"/>
  <c r="M419" i="3"/>
  <c r="M420" i="3"/>
  <c r="M421" i="3"/>
  <c r="M422" i="3"/>
  <c r="M423" i="3"/>
  <c r="M425" i="3"/>
  <c r="M426" i="3"/>
  <c r="M427" i="3"/>
  <c r="M428" i="3"/>
  <c r="M429" i="3"/>
  <c r="M430" i="3"/>
  <c r="M431" i="3"/>
  <c r="M433" i="3"/>
  <c r="M434" i="3"/>
  <c r="M435" i="3"/>
  <c r="M436" i="3"/>
  <c r="M437" i="3"/>
  <c r="M438" i="3"/>
  <c r="M439" i="3"/>
  <c r="M441" i="3"/>
  <c r="M442" i="3"/>
  <c r="M443" i="3"/>
  <c r="M444" i="3"/>
  <c r="M445" i="3"/>
  <c r="M446" i="3"/>
  <c r="M447" i="3"/>
  <c r="M449" i="3"/>
  <c r="M450" i="3"/>
  <c r="M451" i="3"/>
  <c r="M452" i="3"/>
  <c r="M453" i="3"/>
  <c r="M454" i="3"/>
  <c r="M455" i="3"/>
  <c r="M457" i="3"/>
  <c r="M458" i="3"/>
  <c r="M459" i="3"/>
  <c r="M460" i="3"/>
  <c r="M461" i="3"/>
  <c r="M462" i="3"/>
  <c r="M463" i="3"/>
  <c r="M465" i="3"/>
  <c r="M466" i="3"/>
  <c r="M467" i="3"/>
  <c r="M468" i="3"/>
  <c r="M469" i="3"/>
  <c r="M470" i="3"/>
  <c r="M471" i="3"/>
  <c r="M473" i="3"/>
  <c r="M474" i="3"/>
  <c r="M475" i="3"/>
  <c r="M476" i="3"/>
  <c r="M477" i="3"/>
  <c r="M478" i="3"/>
  <c r="M479" i="3"/>
  <c r="M481" i="3"/>
  <c r="M482" i="3"/>
  <c r="M483" i="3"/>
  <c r="M484" i="3"/>
  <c r="M485" i="3"/>
  <c r="M486" i="3"/>
  <c r="M487" i="3"/>
  <c r="M489" i="3"/>
  <c r="M490" i="3"/>
  <c r="M491" i="3"/>
  <c r="M492" i="3"/>
  <c r="M493" i="3"/>
  <c r="M494" i="3"/>
  <c r="M495" i="3"/>
  <c r="M497" i="3"/>
  <c r="M498" i="3"/>
  <c r="M499" i="3"/>
  <c r="M500" i="3"/>
  <c r="M501" i="3"/>
  <c r="M502" i="3"/>
  <c r="M50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2" i="3"/>
  <c r="M2" i="3" l="1"/>
  <c r="H4" i="3"/>
  <c r="I4" i="3" s="1"/>
  <c r="B2" i="3" a="1"/>
  <c r="A1" i="1" a="1"/>
  <c r="H5" i="3" l="1"/>
  <c r="I5" i="3" s="1"/>
  <c r="G8" i="3"/>
  <c r="G16" i="3"/>
  <c r="G24" i="3"/>
  <c r="G32" i="3"/>
  <c r="G40" i="3"/>
  <c r="G48" i="3"/>
  <c r="G56" i="3"/>
  <c r="G64" i="3"/>
  <c r="G72" i="3"/>
  <c r="G80" i="3"/>
  <c r="G88" i="3"/>
  <c r="G96" i="3"/>
  <c r="G104" i="3"/>
  <c r="G112" i="3"/>
  <c r="G120" i="3"/>
  <c r="G128" i="3"/>
  <c r="G136" i="3"/>
  <c r="G144" i="3"/>
  <c r="G152" i="3"/>
  <c r="G160" i="3"/>
  <c r="G168" i="3"/>
  <c r="G176" i="3"/>
  <c r="G184" i="3"/>
  <c r="G192" i="3"/>
  <c r="G200" i="3"/>
  <c r="G208" i="3"/>
  <c r="G216" i="3"/>
  <c r="G224" i="3"/>
  <c r="G232" i="3"/>
  <c r="G240" i="3"/>
  <c r="G248" i="3"/>
  <c r="G256" i="3"/>
  <c r="G264" i="3"/>
  <c r="G272" i="3"/>
  <c r="G280" i="3"/>
  <c r="G288" i="3"/>
  <c r="G296" i="3"/>
  <c r="G304" i="3"/>
  <c r="G312" i="3"/>
  <c r="G320" i="3"/>
  <c r="G328" i="3"/>
  <c r="G336" i="3"/>
  <c r="G344" i="3"/>
  <c r="G352" i="3"/>
  <c r="G360" i="3"/>
  <c r="G368" i="3"/>
  <c r="G376" i="3"/>
  <c r="G384" i="3"/>
  <c r="G392" i="3"/>
  <c r="G400" i="3"/>
  <c r="G408" i="3"/>
  <c r="G416" i="3"/>
  <c r="G424" i="3"/>
  <c r="G432" i="3"/>
  <c r="G440" i="3"/>
  <c r="G448" i="3"/>
  <c r="G456" i="3"/>
  <c r="G464" i="3"/>
  <c r="G472" i="3"/>
  <c r="G480" i="3"/>
  <c r="G488" i="3"/>
  <c r="G496" i="3"/>
  <c r="G2" i="3"/>
  <c r="G28" i="3"/>
  <c r="G68" i="3"/>
  <c r="G92" i="3"/>
  <c r="G124" i="3"/>
  <c r="G156" i="3"/>
  <c r="G180" i="3"/>
  <c r="G228" i="3"/>
  <c r="G260" i="3"/>
  <c r="G292" i="3"/>
  <c r="G324" i="3"/>
  <c r="G356" i="3"/>
  <c r="G380" i="3"/>
  <c r="G412" i="3"/>
  <c r="G444" i="3"/>
  <c r="G476" i="3"/>
  <c r="G37" i="3"/>
  <c r="G93" i="3"/>
  <c r="G125" i="3"/>
  <c r="G165" i="3"/>
  <c r="G205" i="3"/>
  <c r="G9" i="3"/>
  <c r="G17" i="3"/>
  <c r="G25" i="3"/>
  <c r="G33" i="3"/>
  <c r="G41" i="3"/>
  <c r="G49" i="3"/>
  <c r="G57" i="3"/>
  <c r="G65" i="3"/>
  <c r="G73" i="3"/>
  <c r="G81" i="3"/>
  <c r="G89" i="3"/>
  <c r="G97" i="3"/>
  <c r="G105" i="3"/>
  <c r="G113" i="3"/>
  <c r="G121" i="3"/>
  <c r="G129" i="3"/>
  <c r="G137" i="3"/>
  <c r="G145" i="3"/>
  <c r="G153" i="3"/>
  <c r="G161" i="3"/>
  <c r="G169" i="3"/>
  <c r="G177" i="3"/>
  <c r="G185" i="3"/>
  <c r="G193" i="3"/>
  <c r="G201" i="3"/>
  <c r="G209" i="3"/>
  <c r="G217" i="3"/>
  <c r="G225" i="3"/>
  <c r="G233" i="3"/>
  <c r="G241" i="3"/>
  <c r="G249" i="3"/>
  <c r="G257" i="3"/>
  <c r="G265" i="3"/>
  <c r="G273" i="3"/>
  <c r="G281" i="3"/>
  <c r="G289" i="3"/>
  <c r="G297" i="3"/>
  <c r="G305" i="3"/>
  <c r="G313" i="3"/>
  <c r="G321" i="3"/>
  <c r="G329" i="3"/>
  <c r="G337" i="3"/>
  <c r="G345" i="3"/>
  <c r="G353" i="3"/>
  <c r="G361" i="3"/>
  <c r="G369" i="3"/>
  <c r="G377" i="3"/>
  <c r="G385" i="3"/>
  <c r="G393" i="3"/>
  <c r="G401" i="3"/>
  <c r="G409" i="3"/>
  <c r="G417" i="3"/>
  <c r="G425" i="3"/>
  <c r="G433" i="3"/>
  <c r="G441" i="3"/>
  <c r="G449" i="3"/>
  <c r="G457" i="3"/>
  <c r="G465" i="3"/>
  <c r="G473" i="3"/>
  <c r="G481" i="3"/>
  <c r="G489" i="3"/>
  <c r="G497" i="3"/>
  <c r="G12" i="3"/>
  <c r="G36" i="3"/>
  <c r="G60" i="3"/>
  <c r="G100" i="3"/>
  <c r="G132" i="3"/>
  <c r="G164" i="3"/>
  <c r="G196" i="3"/>
  <c r="G220" i="3"/>
  <c r="G244" i="3"/>
  <c r="G276" i="3"/>
  <c r="G316" i="3"/>
  <c r="G348" i="3"/>
  <c r="G372" i="3"/>
  <c r="G404" i="3"/>
  <c r="G428" i="3"/>
  <c r="G460" i="3"/>
  <c r="G492" i="3"/>
  <c r="G21" i="3"/>
  <c r="G69" i="3"/>
  <c r="G117" i="3"/>
  <c r="G157" i="3"/>
  <c r="G189" i="3"/>
  <c r="G10" i="3"/>
  <c r="G18" i="3"/>
  <c r="G26" i="3"/>
  <c r="G34" i="3"/>
  <c r="G42" i="3"/>
  <c r="G50" i="3"/>
  <c r="G58" i="3"/>
  <c r="G66" i="3"/>
  <c r="G74" i="3"/>
  <c r="G82" i="3"/>
  <c r="G90" i="3"/>
  <c r="G98" i="3"/>
  <c r="G106" i="3"/>
  <c r="G114" i="3"/>
  <c r="G122" i="3"/>
  <c r="G130" i="3"/>
  <c r="G138" i="3"/>
  <c r="G146" i="3"/>
  <c r="G154" i="3"/>
  <c r="G162" i="3"/>
  <c r="G170" i="3"/>
  <c r="G178" i="3"/>
  <c r="G186" i="3"/>
  <c r="G194" i="3"/>
  <c r="G202" i="3"/>
  <c r="G210" i="3"/>
  <c r="G218" i="3"/>
  <c r="G226" i="3"/>
  <c r="G234" i="3"/>
  <c r="G242" i="3"/>
  <c r="G250" i="3"/>
  <c r="G258" i="3"/>
  <c r="G266" i="3"/>
  <c r="G274" i="3"/>
  <c r="G282" i="3"/>
  <c r="G290" i="3"/>
  <c r="G298" i="3"/>
  <c r="G306" i="3"/>
  <c r="G314" i="3"/>
  <c r="G322" i="3"/>
  <c r="G330" i="3"/>
  <c r="G338" i="3"/>
  <c r="G346" i="3"/>
  <c r="G354" i="3"/>
  <c r="G362" i="3"/>
  <c r="G370" i="3"/>
  <c r="G378" i="3"/>
  <c r="G386" i="3"/>
  <c r="G394" i="3"/>
  <c r="G402" i="3"/>
  <c r="G410" i="3"/>
  <c r="G418" i="3"/>
  <c r="G426" i="3"/>
  <c r="G434" i="3"/>
  <c r="G442" i="3"/>
  <c r="G450" i="3"/>
  <c r="G458" i="3"/>
  <c r="G466" i="3"/>
  <c r="G474" i="3"/>
  <c r="G482" i="3"/>
  <c r="G490" i="3"/>
  <c r="G498" i="3"/>
  <c r="G3" i="3"/>
  <c r="G44" i="3"/>
  <c r="G52" i="3"/>
  <c r="G84" i="3"/>
  <c r="G116" i="3"/>
  <c r="G148" i="3"/>
  <c r="G188" i="3"/>
  <c r="G212" i="3"/>
  <c r="G252" i="3"/>
  <c r="G284" i="3"/>
  <c r="G308" i="3"/>
  <c r="G332" i="3"/>
  <c r="G364" i="3"/>
  <c r="G396" i="3"/>
  <c r="G420" i="3"/>
  <c r="G452" i="3"/>
  <c r="G484" i="3"/>
  <c r="G29" i="3"/>
  <c r="G61" i="3"/>
  <c r="G101" i="3"/>
  <c r="G141" i="3"/>
  <c r="G173" i="3"/>
  <c r="G5" i="3"/>
  <c r="G11" i="3"/>
  <c r="G19" i="3"/>
  <c r="G27" i="3"/>
  <c r="G35" i="3"/>
  <c r="G43" i="3"/>
  <c r="G51" i="3"/>
  <c r="G59" i="3"/>
  <c r="G67" i="3"/>
  <c r="G75" i="3"/>
  <c r="G83" i="3"/>
  <c r="G91" i="3"/>
  <c r="G99" i="3"/>
  <c r="G107" i="3"/>
  <c r="G115" i="3"/>
  <c r="G123" i="3"/>
  <c r="G131" i="3"/>
  <c r="G139" i="3"/>
  <c r="G147" i="3"/>
  <c r="G155" i="3"/>
  <c r="G163" i="3"/>
  <c r="G171" i="3"/>
  <c r="G179" i="3"/>
  <c r="G187" i="3"/>
  <c r="G195" i="3"/>
  <c r="G203" i="3"/>
  <c r="G211" i="3"/>
  <c r="G219" i="3"/>
  <c r="G227" i="3"/>
  <c r="G235" i="3"/>
  <c r="G243" i="3"/>
  <c r="G251" i="3"/>
  <c r="G259" i="3"/>
  <c r="G267" i="3"/>
  <c r="G275" i="3"/>
  <c r="G283" i="3"/>
  <c r="G291" i="3"/>
  <c r="G299" i="3"/>
  <c r="G307" i="3"/>
  <c r="G315" i="3"/>
  <c r="G323" i="3"/>
  <c r="G331" i="3"/>
  <c r="G339" i="3"/>
  <c r="G347" i="3"/>
  <c r="G355" i="3"/>
  <c r="G363" i="3"/>
  <c r="G371" i="3"/>
  <c r="G379" i="3"/>
  <c r="G387" i="3"/>
  <c r="G395" i="3"/>
  <c r="G403" i="3"/>
  <c r="G411" i="3"/>
  <c r="G419" i="3"/>
  <c r="G427" i="3"/>
  <c r="G435" i="3"/>
  <c r="G443" i="3"/>
  <c r="G451" i="3"/>
  <c r="G459" i="3"/>
  <c r="G467" i="3"/>
  <c r="G475" i="3"/>
  <c r="G483" i="3"/>
  <c r="G491" i="3"/>
  <c r="G499" i="3"/>
  <c r="G20" i="3"/>
  <c r="G76" i="3"/>
  <c r="G108" i="3"/>
  <c r="G140" i="3"/>
  <c r="G172" i="3"/>
  <c r="G204" i="3"/>
  <c r="G236" i="3"/>
  <c r="G268" i="3"/>
  <c r="G300" i="3"/>
  <c r="G340" i="3"/>
  <c r="G388" i="3"/>
  <c r="G436" i="3"/>
  <c r="G468" i="3"/>
  <c r="G500" i="3"/>
  <c r="G45" i="3"/>
  <c r="G85" i="3"/>
  <c r="G109" i="3"/>
  <c r="G149" i="3"/>
  <c r="G197" i="3"/>
  <c r="G4" i="3"/>
  <c r="G13" i="3"/>
  <c r="G53" i="3"/>
  <c r="G77" i="3"/>
  <c r="G133" i="3"/>
  <c r="G181" i="3"/>
  <c r="G6" i="3"/>
  <c r="G38" i="3"/>
  <c r="G70" i="3"/>
  <c r="G102" i="3"/>
  <c r="G134" i="3"/>
  <c r="G166" i="3"/>
  <c r="G198" i="3"/>
  <c r="G222" i="3"/>
  <c r="G245" i="3"/>
  <c r="G263" i="3"/>
  <c r="G286" i="3"/>
  <c r="G309" i="3"/>
  <c r="G327" i="3"/>
  <c r="G350" i="3"/>
  <c r="G373" i="3"/>
  <c r="G391" i="3"/>
  <c r="G414" i="3"/>
  <c r="G437" i="3"/>
  <c r="G455" i="3"/>
  <c r="G478" i="3"/>
  <c r="G501" i="3"/>
  <c r="G54" i="3"/>
  <c r="G231" i="3"/>
  <c r="G318" i="3"/>
  <c r="G423" i="3"/>
  <c r="G126" i="3"/>
  <c r="G302" i="3"/>
  <c r="G430" i="3"/>
  <c r="G471" i="3"/>
  <c r="G127" i="3"/>
  <c r="G191" i="3"/>
  <c r="G303" i="3"/>
  <c r="G390" i="3"/>
  <c r="G7" i="3"/>
  <c r="G39" i="3"/>
  <c r="G71" i="3"/>
  <c r="G103" i="3"/>
  <c r="G135" i="3"/>
  <c r="G167" i="3"/>
  <c r="G199" i="3"/>
  <c r="G223" i="3"/>
  <c r="G246" i="3"/>
  <c r="G269" i="3"/>
  <c r="G287" i="3"/>
  <c r="G310" i="3"/>
  <c r="G333" i="3"/>
  <c r="G351" i="3"/>
  <c r="G374" i="3"/>
  <c r="G397" i="3"/>
  <c r="G415" i="3"/>
  <c r="G438" i="3"/>
  <c r="G461" i="3"/>
  <c r="G479" i="3"/>
  <c r="G502" i="3"/>
  <c r="G462" i="3"/>
  <c r="G503" i="3"/>
  <c r="G118" i="3"/>
  <c r="G150" i="3"/>
  <c r="G254" i="3"/>
  <c r="G295" i="3"/>
  <c r="G382" i="3"/>
  <c r="G446" i="3"/>
  <c r="G158" i="3"/>
  <c r="G279" i="3"/>
  <c r="G343" i="3"/>
  <c r="G31" i="3"/>
  <c r="G221" i="3"/>
  <c r="G367" i="3"/>
  <c r="G495" i="3"/>
  <c r="G14" i="3"/>
  <c r="G46" i="3"/>
  <c r="G78" i="3"/>
  <c r="G110" i="3"/>
  <c r="G142" i="3"/>
  <c r="G174" i="3"/>
  <c r="G206" i="3"/>
  <c r="G229" i="3"/>
  <c r="G247" i="3"/>
  <c r="G270" i="3"/>
  <c r="G293" i="3"/>
  <c r="G311" i="3"/>
  <c r="G334" i="3"/>
  <c r="G357" i="3"/>
  <c r="G375" i="3"/>
  <c r="G398" i="3"/>
  <c r="G421" i="3"/>
  <c r="G439" i="3"/>
  <c r="G485" i="3"/>
  <c r="G86" i="3"/>
  <c r="G182" i="3"/>
  <c r="G277" i="3"/>
  <c r="G405" i="3"/>
  <c r="G487" i="3"/>
  <c r="G238" i="3"/>
  <c r="G366" i="3"/>
  <c r="G63" i="3"/>
  <c r="G239" i="3"/>
  <c r="G326" i="3"/>
  <c r="G477" i="3"/>
  <c r="G15" i="3"/>
  <c r="G47" i="3"/>
  <c r="G79" i="3"/>
  <c r="G111" i="3"/>
  <c r="G143" i="3"/>
  <c r="G175" i="3"/>
  <c r="G207" i="3"/>
  <c r="G230" i="3"/>
  <c r="G253" i="3"/>
  <c r="G271" i="3"/>
  <c r="G294" i="3"/>
  <c r="G317" i="3"/>
  <c r="G335" i="3"/>
  <c r="G358" i="3"/>
  <c r="G381" i="3"/>
  <c r="G399" i="3"/>
  <c r="G422" i="3"/>
  <c r="G445" i="3"/>
  <c r="G463" i="3"/>
  <c r="G486" i="3"/>
  <c r="G22" i="3"/>
  <c r="G213" i="3"/>
  <c r="G341" i="3"/>
  <c r="G469" i="3"/>
  <c r="G190" i="3"/>
  <c r="G325" i="3"/>
  <c r="G407" i="3"/>
  <c r="G453" i="3"/>
  <c r="G95" i="3"/>
  <c r="G285" i="3"/>
  <c r="G413" i="3"/>
  <c r="G359" i="3"/>
  <c r="G431" i="3"/>
  <c r="G23" i="3"/>
  <c r="G55" i="3"/>
  <c r="G87" i="3"/>
  <c r="G119" i="3"/>
  <c r="G151" i="3"/>
  <c r="G183" i="3"/>
  <c r="G214" i="3"/>
  <c r="G237" i="3"/>
  <c r="G255" i="3"/>
  <c r="G278" i="3"/>
  <c r="G301" i="3"/>
  <c r="G319" i="3"/>
  <c r="G342" i="3"/>
  <c r="G365" i="3"/>
  <c r="G383" i="3"/>
  <c r="G406" i="3"/>
  <c r="G429" i="3"/>
  <c r="G447" i="3"/>
  <c r="G470" i="3"/>
  <c r="G493" i="3"/>
  <c r="G30" i="3"/>
  <c r="G62" i="3"/>
  <c r="G94" i="3"/>
  <c r="G215" i="3"/>
  <c r="G261" i="3"/>
  <c r="G389" i="3"/>
  <c r="G494" i="3"/>
  <c r="G159" i="3"/>
  <c r="G262" i="3"/>
  <c r="G349" i="3"/>
  <c r="G454" i="3"/>
  <c r="B2" i="3"/>
  <c r="R2" i="3" s="1"/>
  <c r="A1" i="1"/>
  <c r="H6" i="3" l="1"/>
  <c r="I6" i="3" s="1"/>
  <c r="S2" i="3"/>
  <c r="V2" i="3"/>
  <c r="U2" i="3" s="1"/>
  <c r="AD2" i="3"/>
  <c r="AC2" i="3"/>
  <c r="AF2" i="3" s="1"/>
  <c r="H7" i="3" l="1"/>
  <c r="I7" i="3" s="1"/>
  <c r="AB2" i="3"/>
  <c r="O3" i="3"/>
  <c r="O35" i="3"/>
  <c r="O43" i="3"/>
  <c r="O51" i="3"/>
  <c r="O59" i="3"/>
  <c r="O67" i="3"/>
  <c r="O91" i="3"/>
  <c r="O99" i="3"/>
  <c r="O107" i="3"/>
  <c r="O115" i="3"/>
  <c r="O123" i="3"/>
  <c r="O131" i="3"/>
  <c r="O139" i="3"/>
  <c r="O155" i="3"/>
  <c r="O163" i="3"/>
  <c r="O171" i="3"/>
  <c r="O179" i="3"/>
  <c r="O187" i="3"/>
  <c r="O195" i="3"/>
  <c r="O203" i="3"/>
  <c r="O219" i="3"/>
  <c r="O227" i="3"/>
  <c r="O235" i="3"/>
  <c r="O243" i="3"/>
  <c r="O251" i="3"/>
  <c r="O259" i="3"/>
  <c r="O283" i="3"/>
  <c r="O291" i="3"/>
  <c r="O299" i="3"/>
  <c r="O307" i="3"/>
  <c r="O315" i="3"/>
  <c r="O323" i="3"/>
  <c r="O331" i="3"/>
  <c r="O347" i="3"/>
  <c r="O355" i="3"/>
  <c r="O363" i="3"/>
  <c r="O371" i="3"/>
  <c r="O379" i="3"/>
  <c r="O387" i="3"/>
  <c r="O411" i="3"/>
  <c r="O419" i="3"/>
  <c r="O427" i="3"/>
  <c r="O435" i="3"/>
  <c r="O443" i="3"/>
  <c r="O451" i="3"/>
  <c r="O467" i="3"/>
  <c r="O475" i="3"/>
  <c r="O483" i="3"/>
  <c r="O491" i="3"/>
  <c r="O499" i="3"/>
  <c r="O4" i="3"/>
  <c r="O12" i="3"/>
  <c r="O36" i="3"/>
  <c r="O44" i="3"/>
  <c r="O52" i="3"/>
  <c r="O60" i="3"/>
  <c r="O68" i="3"/>
  <c r="O76" i="3"/>
  <c r="O100" i="3"/>
  <c r="O108" i="3"/>
  <c r="O116" i="3"/>
  <c r="O124" i="3"/>
  <c r="O132" i="3"/>
  <c r="O140" i="3"/>
  <c r="O156" i="3"/>
  <c r="O164" i="3"/>
  <c r="O172" i="3"/>
  <c r="O180" i="3"/>
  <c r="O188" i="3"/>
  <c r="O196" i="3"/>
  <c r="O204" i="3"/>
  <c r="O228" i="3"/>
  <c r="O236" i="3"/>
  <c r="O244" i="3"/>
  <c r="O252" i="3"/>
  <c r="O260" i="3"/>
  <c r="O268" i="3"/>
  <c r="O292" i="3"/>
  <c r="O300" i="3"/>
  <c r="O308" i="3"/>
  <c r="O316" i="3"/>
  <c r="O324" i="3"/>
  <c r="O332" i="3"/>
  <c r="O340" i="3"/>
  <c r="O348" i="3"/>
  <c r="O356" i="3"/>
  <c r="O364" i="3"/>
  <c r="O372" i="3"/>
  <c r="O380" i="3"/>
  <c r="O388" i="3"/>
  <c r="O396" i="3"/>
  <c r="O420" i="3"/>
  <c r="O428" i="3"/>
  <c r="O436" i="3"/>
  <c r="O444" i="3"/>
  <c r="O452" i="3"/>
  <c r="O460" i="3"/>
  <c r="O484" i="3"/>
  <c r="O492" i="3"/>
  <c r="O500" i="3"/>
  <c r="O29" i="3"/>
  <c r="O77" i="3"/>
  <c r="O93" i="3"/>
  <c r="O141" i="3"/>
  <c r="O149" i="3"/>
  <c r="O165" i="3"/>
  <c r="O181" i="3"/>
  <c r="O197" i="3"/>
  <c r="O213" i="3"/>
  <c r="O245" i="3"/>
  <c r="O261" i="3"/>
  <c r="O277" i="3"/>
  <c r="O285" i="3"/>
  <c r="O301" i="3"/>
  <c r="O317" i="3"/>
  <c r="O5" i="3"/>
  <c r="O21" i="3"/>
  <c r="O37" i="3"/>
  <c r="O45" i="3"/>
  <c r="O53" i="3"/>
  <c r="O61" i="3"/>
  <c r="O69" i="3"/>
  <c r="O85" i="3"/>
  <c r="O133" i="3"/>
  <c r="O157" i="3"/>
  <c r="O173" i="3"/>
  <c r="O189" i="3"/>
  <c r="O205" i="3"/>
  <c r="O221" i="3"/>
  <c r="O269" i="3"/>
  <c r="O293" i="3"/>
  <c r="O309" i="3"/>
  <c r="O6" i="3"/>
  <c r="O8" i="3"/>
  <c r="O16" i="3"/>
  <c r="O40" i="3"/>
  <c r="O48" i="3"/>
  <c r="O56" i="3"/>
  <c r="O64" i="3"/>
  <c r="O72" i="3"/>
  <c r="O80" i="3"/>
  <c r="O96" i="3"/>
  <c r="O104" i="3"/>
  <c r="O112" i="3"/>
  <c r="O120" i="3"/>
  <c r="O128" i="3"/>
  <c r="O136" i="3"/>
  <c r="O144" i="3"/>
  <c r="O168" i="3"/>
  <c r="O176" i="3"/>
  <c r="O184" i="3"/>
  <c r="O192" i="3"/>
  <c r="O200" i="3"/>
  <c r="O208" i="3"/>
  <c r="O216" i="3"/>
  <c r="O232" i="3"/>
  <c r="O240" i="3"/>
  <c r="O248" i="3"/>
  <c r="O256" i="3"/>
  <c r="O264" i="3"/>
  <c r="O272" i="3"/>
  <c r="O288" i="3"/>
  <c r="O296" i="3"/>
  <c r="O304" i="3"/>
  <c r="O312" i="3"/>
  <c r="O320" i="3"/>
  <c r="O328" i="3"/>
  <c r="O336" i="3"/>
  <c r="O352" i="3"/>
  <c r="O360" i="3"/>
  <c r="O368" i="3"/>
  <c r="O376" i="3"/>
  <c r="O384" i="3"/>
  <c r="O392" i="3"/>
  <c r="O400" i="3"/>
  <c r="O424" i="3"/>
  <c r="O432" i="3"/>
  <c r="O440" i="3"/>
  <c r="O448" i="3"/>
  <c r="O456" i="3"/>
  <c r="O464" i="3"/>
  <c r="O488" i="3"/>
  <c r="O496" i="3"/>
  <c r="O2" i="3"/>
  <c r="O9" i="3"/>
  <c r="O17" i="3"/>
  <c r="O25" i="3"/>
  <c r="O49" i="3"/>
  <c r="O57" i="3"/>
  <c r="O65" i="3"/>
  <c r="O73" i="3"/>
  <c r="O81" i="3"/>
  <c r="O89" i="3"/>
  <c r="O105" i="3"/>
  <c r="O113" i="3"/>
  <c r="O121" i="3"/>
  <c r="O129" i="3"/>
  <c r="O137" i="3"/>
  <c r="O145" i="3"/>
  <c r="O153" i="3"/>
  <c r="O169" i="3"/>
  <c r="O177" i="3"/>
  <c r="O26" i="3"/>
  <c r="O47" i="3"/>
  <c r="O70" i="3"/>
  <c r="O90" i="3"/>
  <c r="O111" i="3"/>
  <c r="O175" i="3"/>
  <c r="O193" i="3"/>
  <c r="O209" i="3"/>
  <c r="O225" i="3"/>
  <c r="O241" i="3"/>
  <c r="O257" i="3"/>
  <c r="O305" i="3"/>
  <c r="O321" i="3"/>
  <c r="O334" i="3"/>
  <c r="O346" i="3"/>
  <c r="O359" i="3"/>
  <c r="O373" i="3"/>
  <c r="O410" i="3"/>
  <c r="O423" i="3"/>
  <c r="O437" i="3"/>
  <c r="O449" i="3"/>
  <c r="O462" i="3"/>
  <c r="O474" i="3"/>
  <c r="O501" i="3"/>
  <c r="O365" i="3"/>
  <c r="O415" i="3"/>
  <c r="O466" i="3"/>
  <c r="O430" i="3"/>
  <c r="O481" i="3"/>
  <c r="O381" i="3"/>
  <c r="O330" i="3"/>
  <c r="O394" i="3"/>
  <c r="O471" i="3"/>
  <c r="O66" i="3"/>
  <c r="O151" i="3"/>
  <c r="O255" i="3"/>
  <c r="O409" i="3"/>
  <c r="O486" i="3"/>
  <c r="O7" i="3"/>
  <c r="O30" i="3"/>
  <c r="O50" i="3"/>
  <c r="O71" i="3"/>
  <c r="O94" i="3"/>
  <c r="O135" i="3"/>
  <c r="O158" i="3"/>
  <c r="O178" i="3"/>
  <c r="O194" i="3"/>
  <c r="O210" i="3"/>
  <c r="O226" i="3"/>
  <c r="O242" i="3"/>
  <c r="O258" i="3"/>
  <c r="O274" i="3"/>
  <c r="O290" i="3"/>
  <c r="O306" i="3"/>
  <c r="O322" i="3"/>
  <c r="O335" i="3"/>
  <c r="O349" i="3"/>
  <c r="O361" i="3"/>
  <c r="O374" i="3"/>
  <c r="O399" i="3"/>
  <c r="O413" i="3"/>
  <c r="O425" i="3"/>
  <c r="O438" i="3"/>
  <c r="O450" i="3"/>
  <c r="O463" i="3"/>
  <c r="O489" i="3"/>
  <c r="O502" i="3"/>
  <c r="O377" i="3"/>
  <c r="O479" i="3"/>
  <c r="O455" i="3"/>
  <c r="O494" i="3"/>
  <c r="O393" i="3"/>
  <c r="O318" i="3"/>
  <c r="O446" i="3"/>
  <c r="O110" i="3"/>
  <c r="O191" i="3"/>
  <c r="O287" i="3"/>
  <c r="O370" i="3"/>
  <c r="O447" i="3"/>
  <c r="O31" i="3"/>
  <c r="O54" i="3"/>
  <c r="O74" i="3"/>
  <c r="O95" i="3"/>
  <c r="O118" i="3"/>
  <c r="O138" i="3"/>
  <c r="O198" i="3"/>
  <c r="O214" i="3"/>
  <c r="O230" i="3"/>
  <c r="O246" i="3"/>
  <c r="O262" i="3"/>
  <c r="O310" i="3"/>
  <c r="O325" i="3"/>
  <c r="O337" i="3"/>
  <c r="O350" i="3"/>
  <c r="O362" i="3"/>
  <c r="O375" i="3"/>
  <c r="O389" i="3"/>
  <c r="O414" i="3"/>
  <c r="O426" i="3"/>
  <c r="O439" i="3"/>
  <c r="O453" i="3"/>
  <c r="O465" i="3"/>
  <c r="O478" i="3"/>
  <c r="O402" i="3"/>
  <c r="O429" i="3"/>
  <c r="O454" i="3"/>
  <c r="O493" i="3"/>
  <c r="O469" i="3"/>
  <c r="O367" i="3"/>
  <c r="O457" i="3"/>
  <c r="O407" i="3"/>
  <c r="O485" i="3"/>
  <c r="O87" i="3"/>
  <c r="O239" i="3"/>
  <c r="O333" i="3"/>
  <c r="O422" i="3"/>
  <c r="O34" i="3"/>
  <c r="O55" i="3"/>
  <c r="O78" i="3"/>
  <c r="O98" i="3"/>
  <c r="O119" i="3"/>
  <c r="O142" i="3"/>
  <c r="O162" i="3"/>
  <c r="O183" i="3"/>
  <c r="O199" i="3"/>
  <c r="O215" i="3"/>
  <c r="O231" i="3"/>
  <c r="O247" i="3"/>
  <c r="O263" i="3"/>
  <c r="O279" i="3"/>
  <c r="O311" i="3"/>
  <c r="O326" i="3"/>
  <c r="O338" i="3"/>
  <c r="O351" i="3"/>
  <c r="O390" i="3"/>
  <c r="O441" i="3"/>
  <c r="O406" i="3"/>
  <c r="O127" i="3"/>
  <c r="O254" i="3"/>
  <c r="O343" i="3"/>
  <c r="O382" i="3"/>
  <c r="O458" i="3"/>
  <c r="O46" i="3"/>
  <c r="O223" i="3"/>
  <c r="O473" i="3"/>
  <c r="O15" i="3"/>
  <c r="O38" i="3"/>
  <c r="O58" i="3"/>
  <c r="O79" i="3"/>
  <c r="O102" i="3"/>
  <c r="O122" i="3"/>
  <c r="O143" i="3"/>
  <c r="O166" i="3"/>
  <c r="O185" i="3"/>
  <c r="O201" i="3"/>
  <c r="O217" i="3"/>
  <c r="O233" i="3"/>
  <c r="O249" i="3"/>
  <c r="O297" i="3"/>
  <c r="O313" i="3"/>
  <c r="O327" i="3"/>
  <c r="O341" i="3"/>
  <c r="O353" i="3"/>
  <c r="O366" i="3"/>
  <c r="O391" i="3"/>
  <c r="O405" i="3"/>
  <c r="O417" i="3"/>
  <c r="O442" i="3"/>
  <c r="O431" i="3"/>
  <c r="O482" i="3"/>
  <c r="O106" i="3"/>
  <c r="O190" i="3"/>
  <c r="O222" i="3"/>
  <c r="O270" i="3"/>
  <c r="O369" i="3"/>
  <c r="O421" i="3"/>
  <c r="O497" i="3"/>
  <c r="O130" i="3"/>
  <c r="O174" i="3"/>
  <c r="O358" i="3"/>
  <c r="O434" i="3"/>
  <c r="O18" i="3"/>
  <c r="O39" i="3"/>
  <c r="O62" i="3"/>
  <c r="O82" i="3"/>
  <c r="O146" i="3"/>
  <c r="O167" i="3"/>
  <c r="O186" i="3"/>
  <c r="O202" i="3"/>
  <c r="O218" i="3"/>
  <c r="O234" i="3"/>
  <c r="O266" i="3"/>
  <c r="O282" i="3"/>
  <c r="O298" i="3"/>
  <c r="O314" i="3"/>
  <c r="O329" i="3"/>
  <c r="O342" i="3"/>
  <c r="O354" i="3"/>
  <c r="O170" i="3"/>
  <c r="O206" i="3"/>
  <c r="O238" i="3"/>
  <c r="O302" i="3"/>
  <c r="O357" i="3"/>
  <c r="O433" i="3"/>
  <c r="O207" i="3"/>
  <c r="O303" i="3"/>
  <c r="O383" i="3"/>
  <c r="O461" i="3"/>
  <c r="O487" i="3"/>
  <c r="O398" i="3"/>
  <c r="O281" i="3"/>
  <c r="O267" i="3"/>
  <c r="O22" i="3"/>
  <c r="O159" i="3"/>
  <c r="O97" i="3"/>
  <c r="O211" i="3"/>
  <c r="O278" i="3"/>
  <c r="O237" i="3"/>
  <c r="O378" i="3"/>
  <c r="O386" i="3"/>
  <c r="O229" i="3"/>
  <c r="O220" i="3"/>
  <c r="O480" i="3"/>
  <c r="O445" i="3"/>
  <c r="O88" i="3"/>
  <c r="O101" i="3"/>
  <c r="O147" i="3"/>
  <c r="O339" i="3"/>
  <c r="O250" i="3"/>
  <c r="O401" i="3"/>
  <c r="O11" i="3"/>
  <c r="O408" i="3"/>
  <c r="O275" i="3"/>
  <c r="O319" i="3"/>
  <c r="O295" i="3"/>
  <c r="O490" i="3"/>
  <c r="O161" i="3"/>
  <c r="O265" i="3"/>
  <c r="O495" i="3"/>
  <c r="O284" i="3"/>
  <c r="O294" i="3"/>
  <c r="O32" i="3"/>
  <c r="O345" i="3"/>
  <c r="O19" i="3"/>
  <c r="O182" i="3"/>
  <c r="I3" i="3"/>
  <c r="O150" i="3"/>
  <c r="O126" i="3"/>
  <c r="O412" i="3"/>
  <c r="O28" i="3"/>
  <c r="O86" i="3"/>
  <c r="O271" i="3"/>
  <c r="O125" i="3"/>
  <c r="O404" i="3"/>
  <c r="O103" i="3"/>
  <c r="O397" i="3"/>
  <c r="O24" i="3"/>
  <c r="O84" i="3"/>
  <c r="O10" i="3"/>
  <c r="J2" i="3"/>
  <c r="O42" i="3"/>
  <c r="O273" i="3"/>
  <c r="O63" i="3"/>
  <c r="O476" i="3"/>
  <c r="O160" i="3"/>
  <c r="O253" i="3"/>
  <c r="O289" i="3"/>
  <c r="O27" i="3"/>
  <c r="O477" i="3"/>
  <c r="O472" i="3"/>
  <c r="O23" i="3"/>
  <c r="O286" i="3"/>
  <c r="O154" i="3"/>
  <c r="O134" i="3"/>
  <c r="O41" i="3"/>
  <c r="O117" i="3"/>
  <c r="O395" i="3"/>
  <c r="O276" i="3"/>
  <c r="O33" i="3"/>
  <c r="O13" i="3"/>
  <c r="O468" i="3"/>
  <c r="O385" i="3"/>
  <c r="O75" i="3"/>
  <c r="O503" i="3"/>
  <c r="O344" i="3"/>
  <c r="O152" i="3"/>
  <c r="O403" i="3"/>
  <c r="O470" i="3"/>
  <c r="O459" i="3"/>
  <c r="O114" i="3"/>
  <c r="O109" i="3"/>
  <c r="O148" i="3"/>
  <c r="O224" i="3"/>
  <c r="O212" i="3"/>
  <c r="O418" i="3"/>
  <c r="O416" i="3"/>
  <c r="O498" i="3"/>
  <c r="O14" i="3"/>
  <c r="O83" i="3"/>
  <c r="O280" i="3"/>
  <c r="O92" i="3"/>
  <c r="O20" i="3"/>
  <c r="H8" i="3" l="1"/>
  <c r="I8" i="3" s="1"/>
  <c r="X2" i="3"/>
  <c r="P5" i="3"/>
  <c r="P3" i="3"/>
  <c r="P2" i="3"/>
  <c r="P4" i="3"/>
  <c r="P6" i="3"/>
  <c r="AF3" i="3"/>
  <c r="H9" i="3" l="1"/>
  <c r="I9" i="3" s="1"/>
  <c r="J4" i="3"/>
  <c r="J3" i="3"/>
  <c r="P7" i="3"/>
  <c r="J5" i="3"/>
  <c r="AF4" i="3"/>
  <c r="AF5" i="3" s="1"/>
  <c r="AF6" i="3" s="1"/>
  <c r="AF7" i="3" s="1"/>
  <c r="AF8" i="3" s="1"/>
  <c r="AF9" i="3" s="1"/>
  <c r="AF10" i="3" s="1"/>
  <c r="AF11" i="3" s="1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H10" i="3" l="1"/>
  <c r="I10" i="3" s="1"/>
  <c r="P8" i="3"/>
  <c r="J6" i="3"/>
  <c r="AG2" i="3" a="1"/>
  <c r="AG2" i="3" s="1"/>
  <c r="H11" i="3" l="1"/>
  <c r="I11" i="3" s="1"/>
  <c r="P9" i="3"/>
  <c r="J7" i="3"/>
  <c r="AG23" i="3"/>
  <c r="AG5" i="3"/>
  <c r="AG48" i="3"/>
  <c r="AG13" i="3"/>
  <c r="AG4" i="3"/>
  <c r="AG38" i="3"/>
  <c r="AG51" i="3"/>
  <c r="AG25" i="3"/>
  <c r="AG50" i="3"/>
  <c r="AG35" i="3"/>
  <c r="AG42" i="3"/>
  <c r="AG31" i="3"/>
  <c r="AG34" i="3"/>
  <c r="AG14" i="3"/>
  <c r="AG33" i="3"/>
  <c r="AG9" i="3"/>
  <c r="AG21" i="3"/>
  <c r="AG45" i="3"/>
  <c r="AG30" i="3"/>
  <c r="AG10" i="3"/>
  <c r="AG36" i="3"/>
  <c r="AG20" i="3"/>
  <c r="AG40" i="3"/>
  <c r="AG3" i="3"/>
  <c r="AG52" i="3"/>
  <c r="AG37" i="3"/>
  <c r="AG32" i="3"/>
  <c r="AG28" i="3"/>
  <c r="AG11" i="3"/>
  <c r="AG15" i="3"/>
  <c r="AG39" i="3"/>
  <c r="AG12" i="3"/>
  <c r="AG46" i="3"/>
  <c r="AG7" i="3"/>
  <c r="AG22" i="3"/>
  <c r="AG49" i="3"/>
  <c r="AG24" i="3"/>
  <c r="AG8" i="3"/>
  <c r="AG18" i="3"/>
  <c r="AG6" i="3"/>
  <c r="AG16" i="3"/>
  <c r="AG17" i="3"/>
  <c r="AG26" i="3"/>
  <c r="AG29" i="3"/>
  <c r="AG43" i="3"/>
  <c r="AG41" i="3"/>
  <c r="AG44" i="3"/>
  <c r="AG19" i="3"/>
  <c r="AG27" i="3"/>
  <c r="AG47" i="3"/>
  <c r="H12" i="3" l="1"/>
  <c r="I12" i="3" s="1"/>
  <c r="P10" i="3"/>
  <c r="AG53" i="3"/>
  <c r="AH12" i="3" s="1"/>
  <c r="J8" i="3"/>
  <c r="H13" i="3" l="1"/>
  <c r="I13" i="3" s="1"/>
  <c r="AH50" i="3"/>
  <c r="AH42" i="3"/>
  <c r="AH24" i="3"/>
  <c r="AH19" i="3"/>
  <c r="AH3" i="3"/>
  <c r="AH34" i="3"/>
  <c r="AH18" i="3"/>
  <c r="AH13" i="3"/>
  <c r="AH45" i="3"/>
  <c r="AH38" i="3"/>
  <c r="AH30" i="3"/>
  <c r="AH9" i="3"/>
  <c r="AH25" i="3"/>
  <c r="AH49" i="3"/>
  <c r="AH52" i="3"/>
  <c r="AH16" i="3"/>
  <c r="AH23" i="3"/>
  <c r="AH31" i="3"/>
  <c r="AH43" i="3"/>
  <c r="AH11" i="3"/>
  <c r="AH8" i="3"/>
  <c r="AH28" i="3"/>
  <c r="AH48" i="3"/>
  <c r="AH36" i="3"/>
  <c r="AH47" i="3"/>
  <c r="AH32" i="3"/>
  <c r="AH39" i="3"/>
  <c r="AH29" i="3"/>
  <c r="AH17" i="3"/>
  <c r="AH21" i="3"/>
  <c r="AH41" i="3"/>
  <c r="AH46" i="3"/>
  <c r="AH15" i="3"/>
  <c r="AH37" i="3"/>
  <c r="AH35" i="3"/>
  <c r="AH14" i="3"/>
  <c r="AH4" i="3"/>
  <c r="AH22" i="3"/>
  <c r="AH33" i="3"/>
  <c r="AH20" i="3"/>
  <c r="P11" i="3"/>
  <c r="AH51" i="3"/>
  <c r="AH6" i="3"/>
  <c r="AH44" i="3"/>
  <c r="AH5" i="3"/>
  <c r="AH7" i="3"/>
  <c r="AH10" i="3"/>
  <c r="AH26" i="3"/>
  <c r="AH2" i="3"/>
  <c r="AH40" i="3"/>
  <c r="AH27" i="3"/>
  <c r="J9" i="3"/>
  <c r="H14" i="3" l="1"/>
  <c r="I14" i="3" s="1"/>
  <c r="P12" i="3"/>
  <c r="J10" i="3"/>
  <c r="H15" i="3" l="1"/>
  <c r="I15" i="3" s="1"/>
  <c r="P13" i="3"/>
  <c r="J11" i="3"/>
  <c r="H16" i="3" l="1"/>
  <c r="I16" i="3" s="1"/>
  <c r="P14" i="3"/>
  <c r="J12" i="3"/>
  <c r="H17" i="3" l="1"/>
  <c r="I17" i="3" s="1"/>
  <c r="P15" i="3"/>
  <c r="J13" i="3"/>
  <c r="H18" i="3" l="1"/>
  <c r="I18" i="3" s="1"/>
  <c r="P16" i="3"/>
  <c r="J14" i="3"/>
  <c r="H19" i="3" l="1"/>
  <c r="I19" i="3" s="1"/>
  <c r="P17" i="3"/>
  <c r="J15" i="3"/>
  <c r="H20" i="3" l="1"/>
  <c r="I20" i="3" s="1"/>
  <c r="P18" i="3"/>
  <c r="J16" i="3"/>
  <c r="H21" i="3" l="1"/>
  <c r="I21" i="3" s="1"/>
  <c r="P19" i="3"/>
  <c r="J17" i="3"/>
  <c r="H22" i="3" l="1"/>
  <c r="I22" i="3" s="1"/>
  <c r="P20" i="3"/>
  <c r="J18" i="3"/>
  <c r="H23" i="3" l="1"/>
  <c r="I23" i="3" s="1"/>
  <c r="P21" i="3"/>
  <c r="J19" i="3"/>
  <c r="H24" i="3" l="1"/>
  <c r="I24" i="3" s="1"/>
  <c r="P22" i="3"/>
  <c r="J20" i="3"/>
  <c r="H25" i="3" l="1"/>
  <c r="I25" i="3" s="1"/>
  <c r="P23" i="3"/>
  <c r="J21" i="3"/>
  <c r="H26" i="3" l="1"/>
  <c r="I26" i="3" s="1"/>
  <c r="P24" i="3"/>
  <c r="J22" i="3"/>
  <c r="H27" i="3" l="1"/>
  <c r="I27" i="3" s="1"/>
  <c r="P25" i="3"/>
  <c r="J23" i="3"/>
  <c r="H28" i="3" l="1"/>
  <c r="I28" i="3" s="1"/>
  <c r="P26" i="3"/>
  <c r="J24" i="3"/>
  <c r="H29" i="3" l="1"/>
  <c r="I29" i="3" s="1"/>
  <c r="P27" i="3"/>
  <c r="J25" i="3"/>
  <c r="H30" i="3" l="1"/>
  <c r="I30" i="3" s="1"/>
  <c r="P28" i="3"/>
  <c r="J26" i="3"/>
  <c r="H31" i="3" l="1"/>
  <c r="I31" i="3" s="1"/>
  <c r="P29" i="3"/>
  <c r="J27" i="3"/>
  <c r="H32" i="3" l="1"/>
  <c r="I32" i="3" s="1"/>
  <c r="P30" i="3"/>
  <c r="J28" i="3"/>
  <c r="H33" i="3" l="1"/>
  <c r="I33" i="3" s="1"/>
  <c r="P31" i="3"/>
  <c r="J29" i="3"/>
  <c r="H34" i="3" l="1"/>
  <c r="I34" i="3" s="1"/>
  <c r="P32" i="3"/>
  <c r="J30" i="3"/>
  <c r="H35" i="3" l="1"/>
  <c r="I35" i="3" s="1"/>
  <c r="P33" i="3"/>
  <c r="J31" i="3"/>
  <c r="H36" i="3" l="1"/>
  <c r="I36" i="3" s="1"/>
  <c r="P34" i="3"/>
  <c r="J32" i="3"/>
  <c r="H37" i="3" l="1"/>
  <c r="I37" i="3" s="1"/>
  <c r="P35" i="3"/>
  <c r="J33" i="3"/>
  <c r="H38" i="3" l="1"/>
  <c r="I38" i="3" s="1"/>
  <c r="P36" i="3"/>
  <c r="J34" i="3"/>
  <c r="H39" i="3" l="1"/>
  <c r="I39" i="3" s="1"/>
  <c r="P37" i="3"/>
  <c r="J35" i="3"/>
  <c r="H40" i="3" l="1"/>
  <c r="I40" i="3" s="1"/>
  <c r="P38" i="3"/>
  <c r="J36" i="3"/>
  <c r="H41" i="3" l="1"/>
  <c r="I41" i="3" s="1"/>
  <c r="P39" i="3"/>
  <c r="J37" i="3"/>
  <c r="H42" i="3" l="1"/>
  <c r="I42" i="3" s="1"/>
  <c r="P40" i="3"/>
  <c r="J38" i="3"/>
  <c r="H43" i="3" l="1"/>
  <c r="I43" i="3" s="1"/>
  <c r="P41" i="3"/>
  <c r="J39" i="3"/>
  <c r="H44" i="3" l="1"/>
  <c r="I44" i="3" s="1"/>
  <c r="P42" i="3"/>
  <c r="J40" i="3"/>
  <c r="H45" i="3" l="1"/>
  <c r="I45" i="3" s="1"/>
  <c r="P43" i="3"/>
  <c r="J41" i="3"/>
  <c r="H46" i="3" l="1"/>
  <c r="I46" i="3" s="1"/>
  <c r="P44" i="3"/>
  <c r="J42" i="3"/>
  <c r="H47" i="3" l="1"/>
  <c r="I47" i="3" s="1"/>
  <c r="P45" i="3"/>
  <c r="J43" i="3"/>
  <c r="H48" i="3" l="1"/>
  <c r="I48" i="3" s="1"/>
  <c r="P46" i="3"/>
  <c r="J44" i="3"/>
  <c r="H49" i="3" l="1"/>
  <c r="I49" i="3" s="1"/>
  <c r="P47" i="3"/>
  <c r="J45" i="3"/>
  <c r="H50" i="3" l="1"/>
  <c r="I50" i="3" s="1"/>
  <c r="P48" i="3"/>
  <c r="J46" i="3"/>
  <c r="H51" i="3" l="1"/>
  <c r="I51" i="3" s="1"/>
  <c r="P49" i="3"/>
  <c r="J47" i="3"/>
  <c r="H52" i="3" l="1"/>
  <c r="I52" i="3" s="1"/>
  <c r="P50" i="3"/>
  <c r="J48" i="3"/>
  <c r="H53" i="3" l="1"/>
  <c r="I53" i="3" s="1"/>
  <c r="P51" i="3"/>
  <c r="J49" i="3"/>
  <c r="H54" i="3" l="1"/>
  <c r="I54" i="3" s="1"/>
  <c r="P52" i="3"/>
  <c r="J50" i="3"/>
  <c r="H55" i="3" l="1"/>
  <c r="I55" i="3" s="1"/>
  <c r="P53" i="3"/>
  <c r="J51" i="3"/>
  <c r="H56" i="3" l="1"/>
  <c r="I56" i="3" s="1"/>
  <c r="P54" i="3"/>
  <c r="J52" i="3"/>
  <c r="H57" i="3" l="1"/>
  <c r="I57" i="3" s="1"/>
  <c r="P55" i="3"/>
  <c r="J53" i="3"/>
  <c r="H58" i="3" l="1"/>
  <c r="I58" i="3" s="1"/>
  <c r="P56" i="3"/>
  <c r="J54" i="3"/>
  <c r="H59" i="3" l="1"/>
  <c r="I59" i="3" s="1"/>
  <c r="P57" i="3"/>
  <c r="J55" i="3"/>
  <c r="H60" i="3" l="1"/>
  <c r="I60" i="3" s="1"/>
  <c r="P58" i="3"/>
  <c r="J56" i="3"/>
  <c r="H61" i="3" l="1"/>
  <c r="I61" i="3" s="1"/>
  <c r="P59" i="3"/>
  <c r="J57" i="3"/>
  <c r="H62" i="3" l="1"/>
  <c r="I62" i="3" s="1"/>
  <c r="P60" i="3"/>
  <c r="J58" i="3"/>
  <c r="H63" i="3" l="1"/>
  <c r="I63" i="3" s="1"/>
  <c r="P61" i="3"/>
  <c r="J59" i="3"/>
  <c r="H64" i="3" l="1"/>
  <c r="I64" i="3" s="1"/>
  <c r="P62" i="3"/>
  <c r="J60" i="3"/>
  <c r="H65" i="3" l="1"/>
  <c r="I65" i="3" s="1"/>
  <c r="P63" i="3"/>
  <c r="J61" i="3"/>
  <c r="H66" i="3" l="1"/>
  <c r="I66" i="3" s="1"/>
  <c r="P64" i="3"/>
  <c r="J62" i="3"/>
  <c r="H67" i="3" l="1"/>
  <c r="I67" i="3" s="1"/>
  <c r="P65" i="3"/>
  <c r="J63" i="3"/>
  <c r="H68" i="3" l="1"/>
  <c r="I68" i="3" s="1"/>
  <c r="P66" i="3"/>
  <c r="J64" i="3"/>
  <c r="H69" i="3" l="1"/>
  <c r="I69" i="3" s="1"/>
  <c r="P67" i="3"/>
  <c r="J65" i="3"/>
  <c r="H70" i="3" l="1"/>
  <c r="I70" i="3" s="1"/>
  <c r="P68" i="3"/>
  <c r="J66" i="3"/>
  <c r="H71" i="3" l="1"/>
  <c r="I71" i="3" s="1"/>
  <c r="P69" i="3"/>
  <c r="J67" i="3"/>
  <c r="H72" i="3" l="1"/>
  <c r="I72" i="3" s="1"/>
  <c r="P70" i="3"/>
  <c r="J68" i="3"/>
  <c r="H73" i="3" l="1"/>
  <c r="I73" i="3" s="1"/>
  <c r="P71" i="3"/>
  <c r="J69" i="3"/>
  <c r="H74" i="3" l="1"/>
  <c r="I74" i="3" s="1"/>
  <c r="P72" i="3"/>
  <c r="J70" i="3"/>
  <c r="H75" i="3" l="1"/>
  <c r="I75" i="3" s="1"/>
  <c r="P73" i="3"/>
  <c r="J71" i="3"/>
  <c r="H76" i="3" l="1"/>
  <c r="I76" i="3" s="1"/>
  <c r="P74" i="3"/>
  <c r="J72" i="3"/>
  <c r="H77" i="3" l="1"/>
  <c r="I77" i="3" s="1"/>
  <c r="P75" i="3"/>
  <c r="J73" i="3"/>
  <c r="H78" i="3" l="1"/>
  <c r="I78" i="3" s="1"/>
  <c r="P76" i="3"/>
  <c r="J74" i="3"/>
  <c r="H79" i="3" l="1"/>
  <c r="I79" i="3" s="1"/>
  <c r="P77" i="3"/>
  <c r="J75" i="3"/>
  <c r="H80" i="3" l="1"/>
  <c r="I80" i="3" s="1"/>
  <c r="P78" i="3"/>
  <c r="J76" i="3"/>
  <c r="H81" i="3" l="1"/>
  <c r="I81" i="3" s="1"/>
  <c r="P79" i="3"/>
  <c r="J77" i="3"/>
  <c r="H82" i="3" l="1"/>
  <c r="I82" i="3" s="1"/>
  <c r="P80" i="3"/>
  <c r="J78" i="3"/>
  <c r="H83" i="3" l="1"/>
  <c r="I83" i="3" s="1"/>
  <c r="P81" i="3"/>
  <c r="J79" i="3"/>
  <c r="H84" i="3" l="1"/>
  <c r="I84" i="3" s="1"/>
  <c r="P82" i="3"/>
  <c r="J80" i="3"/>
  <c r="H85" i="3" l="1"/>
  <c r="I85" i="3" s="1"/>
  <c r="P83" i="3"/>
  <c r="J81" i="3"/>
  <c r="H86" i="3" l="1"/>
  <c r="I86" i="3" s="1"/>
  <c r="P84" i="3"/>
  <c r="J82" i="3"/>
  <c r="H87" i="3" l="1"/>
  <c r="I87" i="3" s="1"/>
  <c r="P85" i="3"/>
  <c r="J83" i="3"/>
  <c r="H88" i="3" l="1"/>
  <c r="I88" i="3" s="1"/>
  <c r="P86" i="3"/>
  <c r="J84" i="3"/>
  <c r="H89" i="3" l="1"/>
  <c r="I89" i="3" s="1"/>
  <c r="P87" i="3"/>
  <c r="J85" i="3"/>
  <c r="H90" i="3" l="1"/>
  <c r="I90" i="3" s="1"/>
  <c r="P88" i="3"/>
  <c r="J86" i="3"/>
  <c r="H91" i="3" l="1"/>
  <c r="I91" i="3" s="1"/>
  <c r="P89" i="3"/>
  <c r="J87" i="3"/>
  <c r="H92" i="3" l="1"/>
  <c r="I92" i="3" s="1"/>
  <c r="P90" i="3"/>
  <c r="J88" i="3"/>
  <c r="H93" i="3" l="1"/>
  <c r="I93" i="3" s="1"/>
  <c r="P91" i="3"/>
  <c r="J89" i="3"/>
  <c r="H94" i="3" l="1"/>
  <c r="I94" i="3" s="1"/>
  <c r="P92" i="3"/>
  <c r="J90" i="3"/>
  <c r="H95" i="3" l="1"/>
  <c r="I95" i="3" s="1"/>
  <c r="P93" i="3"/>
  <c r="J91" i="3"/>
  <c r="H96" i="3" l="1"/>
  <c r="I96" i="3" s="1"/>
  <c r="P94" i="3"/>
  <c r="J92" i="3"/>
  <c r="H97" i="3" l="1"/>
  <c r="I97" i="3" s="1"/>
  <c r="P95" i="3"/>
  <c r="J93" i="3"/>
  <c r="H98" i="3" l="1"/>
  <c r="I98" i="3" s="1"/>
  <c r="P96" i="3"/>
  <c r="J94" i="3"/>
  <c r="H99" i="3" l="1"/>
  <c r="I99" i="3" s="1"/>
  <c r="P97" i="3"/>
  <c r="J95" i="3"/>
  <c r="H100" i="3" l="1"/>
  <c r="I100" i="3" s="1"/>
  <c r="P98" i="3"/>
  <c r="J96" i="3"/>
  <c r="H101" i="3" l="1"/>
  <c r="I101" i="3" s="1"/>
  <c r="P99" i="3"/>
  <c r="J97" i="3"/>
  <c r="H102" i="3" l="1"/>
  <c r="I102" i="3" s="1"/>
  <c r="P100" i="3"/>
  <c r="J98" i="3"/>
  <c r="H103" i="3" l="1"/>
  <c r="I103" i="3" s="1"/>
  <c r="P101" i="3"/>
  <c r="J99" i="3"/>
  <c r="H104" i="3" l="1"/>
  <c r="I104" i="3" s="1"/>
  <c r="P102" i="3"/>
  <c r="J100" i="3"/>
  <c r="H105" i="3" l="1"/>
  <c r="I105" i="3" s="1"/>
  <c r="P103" i="3"/>
  <c r="J101" i="3"/>
  <c r="H106" i="3" l="1"/>
  <c r="I106" i="3" s="1"/>
  <c r="P104" i="3"/>
  <c r="J102" i="3"/>
  <c r="H107" i="3" l="1"/>
  <c r="I107" i="3" s="1"/>
  <c r="P105" i="3"/>
  <c r="J103" i="3"/>
  <c r="H108" i="3" l="1"/>
  <c r="I108" i="3" s="1"/>
  <c r="P106" i="3"/>
  <c r="J104" i="3"/>
  <c r="H109" i="3" l="1"/>
  <c r="I109" i="3" s="1"/>
  <c r="P107" i="3"/>
  <c r="J105" i="3"/>
  <c r="H110" i="3" l="1"/>
  <c r="I110" i="3" s="1"/>
  <c r="P108" i="3"/>
  <c r="J106" i="3"/>
  <c r="H111" i="3" l="1"/>
  <c r="I111" i="3" s="1"/>
  <c r="P109" i="3"/>
  <c r="J107" i="3"/>
  <c r="H112" i="3" l="1"/>
  <c r="I112" i="3" s="1"/>
  <c r="P110" i="3"/>
  <c r="J108" i="3"/>
  <c r="H113" i="3" l="1"/>
  <c r="I113" i="3" s="1"/>
  <c r="P111" i="3"/>
  <c r="J109" i="3"/>
  <c r="H114" i="3" l="1"/>
  <c r="I114" i="3" s="1"/>
  <c r="P112" i="3"/>
  <c r="J110" i="3"/>
  <c r="H115" i="3" l="1"/>
  <c r="I115" i="3" s="1"/>
  <c r="P113" i="3"/>
  <c r="J111" i="3"/>
  <c r="H116" i="3" l="1"/>
  <c r="I116" i="3" s="1"/>
  <c r="P114" i="3"/>
  <c r="J112" i="3"/>
  <c r="H117" i="3" l="1"/>
  <c r="I117" i="3" s="1"/>
  <c r="P115" i="3"/>
  <c r="J113" i="3"/>
  <c r="H118" i="3" l="1"/>
  <c r="I118" i="3" s="1"/>
  <c r="P116" i="3"/>
  <c r="J114" i="3"/>
  <c r="H119" i="3" l="1"/>
  <c r="I119" i="3" s="1"/>
  <c r="P117" i="3"/>
  <c r="J115" i="3"/>
  <c r="H120" i="3" l="1"/>
  <c r="I120" i="3" s="1"/>
  <c r="P118" i="3"/>
  <c r="J116" i="3"/>
  <c r="H121" i="3" l="1"/>
  <c r="I121" i="3" s="1"/>
  <c r="P119" i="3"/>
  <c r="J117" i="3"/>
  <c r="H122" i="3" l="1"/>
  <c r="I122" i="3" s="1"/>
  <c r="P120" i="3"/>
  <c r="J118" i="3"/>
  <c r="H123" i="3" l="1"/>
  <c r="I123" i="3" s="1"/>
  <c r="P121" i="3"/>
  <c r="J119" i="3"/>
  <c r="H124" i="3" l="1"/>
  <c r="I124" i="3" s="1"/>
  <c r="P122" i="3"/>
  <c r="J120" i="3"/>
  <c r="H125" i="3" l="1"/>
  <c r="I125" i="3" s="1"/>
  <c r="P123" i="3"/>
  <c r="J121" i="3"/>
  <c r="H126" i="3" l="1"/>
  <c r="I126" i="3" s="1"/>
  <c r="P124" i="3"/>
  <c r="J122" i="3"/>
  <c r="H127" i="3" l="1"/>
  <c r="I127" i="3" s="1"/>
  <c r="P125" i="3"/>
  <c r="J123" i="3"/>
  <c r="H128" i="3" l="1"/>
  <c r="I128" i="3" s="1"/>
  <c r="P126" i="3"/>
  <c r="J124" i="3"/>
  <c r="H129" i="3" l="1"/>
  <c r="I129" i="3" s="1"/>
  <c r="P127" i="3"/>
  <c r="J125" i="3"/>
  <c r="H130" i="3" l="1"/>
  <c r="I130" i="3" s="1"/>
  <c r="P128" i="3"/>
  <c r="J126" i="3"/>
  <c r="H131" i="3" l="1"/>
  <c r="I131" i="3" s="1"/>
  <c r="P129" i="3"/>
  <c r="J127" i="3"/>
  <c r="H132" i="3" l="1"/>
  <c r="I132" i="3" s="1"/>
  <c r="P130" i="3"/>
  <c r="J128" i="3"/>
  <c r="H133" i="3" l="1"/>
  <c r="I133" i="3" s="1"/>
  <c r="P131" i="3"/>
  <c r="J129" i="3"/>
  <c r="H134" i="3" l="1"/>
  <c r="I134" i="3" s="1"/>
  <c r="P132" i="3"/>
  <c r="J130" i="3"/>
  <c r="H135" i="3" l="1"/>
  <c r="I135" i="3" s="1"/>
  <c r="P133" i="3"/>
  <c r="J131" i="3"/>
  <c r="H136" i="3" l="1"/>
  <c r="I136" i="3" s="1"/>
  <c r="P134" i="3"/>
  <c r="J132" i="3"/>
  <c r="H137" i="3" l="1"/>
  <c r="I137" i="3" s="1"/>
  <c r="P135" i="3"/>
  <c r="J133" i="3"/>
  <c r="H138" i="3" l="1"/>
  <c r="I138" i="3" s="1"/>
  <c r="P136" i="3"/>
  <c r="J134" i="3"/>
  <c r="H139" i="3" l="1"/>
  <c r="I139" i="3" s="1"/>
  <c r="P137" i="3"/>
  <c r="J135" i="3"/>
  <c r="H140" i="3" l="1"/>
  <c r="I140" i="3" s="1"/>
  <c r="P138" i="3"/>
  <c r="J136" i="3"/>
  <c r="H141" i="3" l="1"/>
  <c r="I141" i="3" s="1"/>
  <c r="P139" i="3"/>
  <c r="J137" i="3"/>
  <c r="H142" i="3" l="1"/>
  <c r="I142" i="3" s="1"/>
  <c r="P140" i="3"/>
  <c r="J138" i="3"/>
  <c r="H143" i="3" l="1"/>
  <c r="I143" i="3" s="1"/>
  <c r="P141" i="3"/>
  <c r="J139" i="3"/>
  <c r="H144" i="3" l="1"/>
  <c r="I144" i="3" s="1"/>
  <c r="P142" i="3"/>
  <c r="J140" i="3"/>
  <c r="H145" i="3" l="1"/>
  <c r="I145" i="3" s="1"/>
  <c r="P143" i="3"/>
  <c r="J141" i="3"/>
  <c r="H146" i="3" l="1"/>
  <c r="I146" i="3" s="1"/>
  <c r="P144" i="3"/>
  <c r="J142" i="3"/>
  <c r="H147" i="3" l="1"/>
  <c r="I147" i="3" s="1"/>
  <c r="P145" i="3"/>
  <c r="J143" i="3"/>
  <c r="H148" i="3" l="1"/>
  <c r="I148" i="3" s="1"/>
  <c r="P146" i="3"/>
  <c r="J144" i="3"/>
  <c r="H149" i="3" l="1"/>
  <c r="I149" i="3" s="1"/>
  <c r="P147" i="3"/>
  <c r="J145" i="3"/>
  <c r="H150" i="3" l="1"/>
  <c r="I150" i="3" s="1"/>
  <c r="P148" i="3"/>
  <c r="J146" i="3"/>
  <c r="H151" i="3" l="1"/>
  <c r="I151" i="3" s="1"/>
  <c r="P149" i="3"/>
  <c r="J147" i="3"/>
  <c r="H152" i="3" l="1"/>
  <c r="I152" i="3" s="1"/>
  <c r="P150" i="3"/>
  <c r="J148" i="3"/>
  <c r="H153" i="3" l="1"/>
  <c r="I153" i="3" s="1"/>
  <c r="P151" i="3"/>
  <c r="J149" i="3"/>
  <c r="H154" i="3" l="1"/>
  <c r="I154" i="3" s="1"/>
  <c r="P152" i="3"/>
  <c r="J150" i="3"/>
  <c r="H155" i="3" l="1"/>
  <c r="I155" i="3" s="1"/>
  <c r="P153" i="3"/>
  <c r="J151" i="3"/>
  <c r="H156" i="3" l="1"/>
  <c r="I156" i="3" s="1"/>
  <c r="P154" i="3"/>
  <c r="J152" i="3"/>
  <c r="H157" i="3" l="1"/>
  <c r="I157" i="3" s="1"/>
  <c r="P155" i="3"/>
  <c r="J153" i="3"/>
  <c r="H158" i="3" l="1"/>
  <c r="I158" i="3" s="1"/>
  <c r="P156" i="3"/>
  <c r="J154" i="3"/>
  <c r="H159" i="3" l="1"/>
  <c r="I159" i="3" s="1"/>
  <c r="P157" i="3"/>
  <c r="J155" i="3"/>
  <c r="H160" i="3" l="1"/>
  <c r="I160" i="3" s="1"/>
  <c r="P158" i="3"/>
  <c r="J156" i="3"/>
  <c r="H161" i="3" l="1"/>
  <c r="I161" i="3" s="1"/>
  <c r="P159" i="3"/>
  <c r="J157" i="3"/>
  <c r="H162" i="3" l="1"/>
  <c r="I162" i="3" s="1"/>
  <c r="P160" i="3"/>
  <c r="J158" i="3"/>
  <c r="H163" i="3" l="1"/>
  <c r="I163" i="3" s="1"/>
  <c r="P161" i="3"/>
  <c r="J159" i="3"/>
  <c r="H164" i="3" l="1"/>
  <c r="I164" i="3" s="1"/>
  <c r="P162" i="3"/>
  <c r="J160" i="3"/>
  <c r="H165" i="3" l="1"/>
  <c r="I165" i="3" s="1"/>
  <c r="P163" i="3"/>
  <c r="J161" i="3"/>
  <c r="H166" i="3" l="1"/>
  <c r="I166" i="3" s="1"/>
  <c r="P164" i="3"/>
  <c r="J162" i="3"/>
  <c r="H167" i="3" l="1"/>
  <c r="I167" i="3" s="1"/>
  <c r="P165" i="3"/>
  <c r="J163" i="3"/>
  <c r="H168" i="3" l="1"/>
  <c r="I168" i="3" s="1"/>
  <c r="P166" i="3"/>
  <c r="J164" i="3"/>
  <c r="H169" i="3" l="1"/>
  <c r="I169" i="3" s="1"/>
  <c r="P167" i="3"/>
  <c r="J165" i="3"/>
  <c r="H170" i="3" l="1"/>
  <c r="I170" i="3" s="1"/>
  <c r="P168" i="3"/>
  <c r="J166" i="3"/>
  <c r="H171" i="3" l="1"/>
  <c r="I171" i="3" s="1"/>
  <c r="P169" i="3"/>
  <c r="J167" i="3"/>
  <c r="H172" i="3" l="1"/>
  <c r="I172" i="3" s="1"/>
  <c r="P170" i="3"/>
  <c r="J168" i="3"/>
  <c r="H173" i="3" l="1"/>
  <c r="I173" i="3" s="1"/>
  <c r="P171" i="3"/>
  <c r="J169" i="3"/>
  <c r="H174" i="3" l="1"/>
  <c r="I174" i="3" s="1"/>
  <c r="P172" i="3"/>
  <c r="J170" i="3"/>
  <c r="H175" i="3" l="1"/>
  <c r="I175" i="3" s="1"/>
  <c r="P173" i="3"/>
  <c r="J171" i="3"/>
  <c r="H176" i="3" l="1"/>
  <c r="I176" i="3" s="1"/>
  <c r="P174" i="3"/>
  <c r="J172" i="3"/>
  <c r="H177" i="3" l="1"/>
  <c r="I177" i="3" s="1"/>
  <c r="P175" i="3"/>
  <c r="J173" i="3"/>
  <c r="H178" i="3" l="1"/>
  <c r="I178" i="3" s="1"/>
  <c r="P176" i="3"/>
  <c r="J174" i="3"/>
  <c r="H179" i="3" l="1"/>
  <c r="I179" i="3" s="1"/>
  <c r="P177" i="3"/>
  <c r="J175" i="3"/>
  <c r="H180" i="3" l="1"/>
  <c r="I180" i="3" s="1"/>
  <c r="P178" i="3"/>
  <c r="J176" i="3"/>
  <c r="H181" i="3" l="1"/>
  <c r="I181" i="3" s="1"/>
  <c r="P179" i="3"/>
  <c r="J177" i="3"/>
  <c r="H182" i="3" l="1"/>
  <c r="I182" i="3" s="1"/>
  <c r="P180" i="3"/>
  <c r="J178" i="3"/>
  <c r="H183" i="3" l="1"/>
  <c r="I183" i="3" s="1"/>
  <c r="P181" i="3"/>
  <c r="J179" i="3"/>
  <c r="H184" i="3" l="1"/>
  <c r="I184" i="3" s="1"/>
  <c r="P182" i="3"/>
  <c r="J180" i="3"/>
  <c r="H185" i="3" l="1"/>
  <c r="I185" i="3" s="1"/>
  <c r="P183" i="3"/>
  <c r="J181" i="3"/>
  <c r="H186" i="3" l="1"/>
  <c r="I186" i="3" s="1"/>
  <c r="P184" i="3"/>
  <c r="J182" i="3"/>
  <c r="H187" i="3" l="1"/>
  <c r="I187" i="3" s="1"/>
  <c r="P185" i="3"/>
  <c r="J183" i="3"/>
  <c r="H188" i="3" l="1"/>
  <c r="I188" i="3" s="1"/>
  <c r="P186" i="3"/>
  <c r="J184" i="3"/>
  <c r="H189" i="3" l="1"/>
  <c r="I189" i="3" s="1"/>
  <c r="P187" i="3"/>
  <c r="J185" i="3"/>
  <c r="H190" i="3" l="1"/>
  <c r="I190" i="3" s="1"/>
  <c r="P188" i="3"/>
  <c r="J186" i="3"/>
  <c r="H191" i="3" l="1"/>
  <c r="I191" i="3" s="1"/>
  <c r="P189" i="3"/>
  <c r="J187" i="3"/>
  <c r="H192" i="3" l="1"/>
  <c r="I192" i="3" s="1"/>
  <c r="P190" i="3"/>
  <c r="J188" i="3"/>
  <c r="H193" i="3" l="1"/>
  <c r="I193" i="3" s="1"/>
  <c r="P191" i="3"/>
  <c r="J189" i="3"/>
  <c r="H194" i="3" l="1"/>
  <c r="I194" i="3" s="1"/>
  <c r="P192" i="3"/>
  <c r="J190" i="3"/>
  <c r="H195" i="3" l="1"/>
  <c r="I195" i="3" s="1"/>
  <c r="P193" i="3"/>
  <c r="J191" i="3"/>
  <c r="H196" i="3" l="1"/>
  <c r="I196" i="3" s="1"/>
  <c r="P194" i="3"/>
  <c r="J192" i="3"/>
  <c r="H197" i="3" l="1"/>
  <c r="I197" i="3" s="1"/>
  <c r="P195" i="3"/>
  <c r="J193" i="3"/>
  <c r="H198" i="3" l="1"/>
  <c r="I198" i="3" s="1"/>
  <c r="P196" i="3"/>
  <c r="J194" i="3"/>
  <c r="H199" i="3" l="1"/>
  <c r="I199" i="3" s="1"/>
  <c r="P197" i="3"/>
  <c r="J195" i="3"/>
  <c r="H200" i="3" l="1"/>
  <c r="I200" i="3" s="1"/>
  <c r="P198" i="3"/>
  <c r="J196" i="3"/>
  <c r="H201" i="3" l="1"/>
  <c r="I201" i="3" s="1"/>
  <c r="P199" i="3"/>
  <c r="J197" i="3"/>
  <c r="H202" i="3" l="1"/>
  <c r="I202" i="3" s="1"/>
  <c r="P200" i="3"/>
  <c r="J198" i="3"/>
  <c r="H203" i="3" l="1"/>
  <c r="I203" i="3" s="1"/>
  <c r="P201" i="3"/>
  <c r="J199" i="3"/>
  <c r="H204" i="3" l="1"/>
  <c r="I204" i="3" s="1"/>
  <c r="P202" i="3"/>
  <c r="J200" i="3"/>
  <c r="H205" i="3" l="1"/>
  <c r="I205" i="3" s="1"/>
  <c r="P203" i="3"/>
  <c r="J201" i="3"/>
  <c r="H206" i="3" l="1"/>
  <c r="I206" i="3" s="1"/>
  <c r="P204" i="3"/>
  <c r="J202" i="3"/>
  <c r="H207" i="3" l="1"/>
  <c r="I207" i="3" s="1"/>
  <c r="P205" i="3"/>
  <c r="J203" i="3"/>
  <c r="H208" i="3" l="1"/>
  <c r="I208" i="3" s="1"/>
  <c r="P206" i="3"/>
  <c r="J204" i="3"/>
  <c r="H209" i="3" l="1"/>
  <c r="I209" i="3" s="1"/>
  <c r="P207" i="3"/>
  <c r="J205" i="3"/>
  <c r="H210" i="3" l="1"/>
  <c r="I210" i="3" s="1"/>
  <c r="P208" i="3"/>
  <c r="J206" i="3"/>
  <c r="H211" i="3" l="1"/>
  <c r="I211" i="3" s="1"/>
  <c r="P209" i="3"/>
  <c r="J207" i="3"/>
  <c r="H212" i="3" l="1"/>
  <c r="I212" i="3" s="1"/>
  <c r="P210" i="3"/>
  <c r="J208" i="3"/>
  <c r="H213" i="3" l="1"/>
  <c r="I213" i="3" s="1"/>
  <c r="P211" i="3"/>
  <c r="J209" i="3"/>
  <c r="H214" i="3" l="1"/>
  <c r="I214" i="3" s="1"/>
  <c r="P212" i="3"/>
  <c r="J210" i="3"/>
  <c r="H215" i="3" l="1"/>
  <c r="I215" i="3" s="1"/>
  <c r="P213" i="3"/>
  <c r="J211" i="3"/>
  <c r="H216" i="3" l="1"/>
  <c r="I216" i="3" s="1"/>
  <c r="P214" i="3"/>
  <c r="J212" i="3"/>
  <c r="H217" i="3" l="1"/>
  <c r="I217" i="3" s="1"/>
  <c r="P215" i="3"/>
  <c r="J213" i="3"/>
  <c r="H218" i="3" l="1"/>
  <c r="I218" i="3" s="1"/>
  <c r="P216" i="3"/>
  <c r="J214" i="3"/>
  <c r="H219" i="3" l="1"/>
  <c r="I219" i="3" s="1"/>
  <c r="P217" i="3"/>
  <c r="J215" i="3"/>
  <c r="H220" i="3" l="1"/>
  <c r="I220" i="3" s="1"/>
  <c r="P218" i="3"/>
  <c r="J216" i="3"/>
  <c r="H221" i="3" l="1"/>
  <c r="I221" i="3" s="1"/>
  <c r="P219" i="3"/>
  <c r="J217" i="3"/>
  <c r="H222" i="3" l="1"/>
  <c r="I222" i="3" s="1"/>
  <c r="P220" i="3"/>
  <c r="J218" i="3"/>
  <c r="H223" i="3" l="1"/>
  <c r="I223" i="3" s="1"/>
  <c r="P221" i="3"/>
  <c r="J219" i="3"/>
  <c r="H224" i="3" l="1"/>
  <c r="I224" i="3" s="1"/>
  <c r="P222" i="3"/>
  <c r="J220" i="3"/>
  <c r="H225" i="3" l="1"/>
  <c r="I225" i="3" s="1"/>
  <c r="P223" i="3"/>
  <c r="J221" i="3"/>
  <c r="H226" i="3" l="1"/>
  <c r="I226" i="3" s="1"/>
  <c r="P224" i="3"/>
  <c r="J222" i="3"/>
  <c r="H227" i="3" l="1"/>
  <c r="I227" i="3" s="1"/>
  <c r="P225" i="3"/>
  <c r="J223" i="3"/>
  <c r="H228" i="3" l="1"/>
  <c r="I228" i="3" s="1"/>
  <c r="P226" i="3"/>
  <c r="J224" i="3"/>
  <c r="H229" i="3" l="1"/>
  <c r="I229" i="3" s="1"/>
  <c r="P227" i="3"/>
  <c r="J225" i="3"/>
  <c r="H230" i="3" l="1"/>
  <c r="I230" i="3" s="1"/>
  <c r="P228" i="3"/>
  <c r="J226" i="3"/>
  <c r="H231" i="3" l="1"/>
  <c r="I231" i="3" s="1"/>
  <c r="P229" i="3"/>
  <c r="J227" i="3"/>
  <c r="H232" i="3" l="1"/>
  <c r="I232" i="3" s="1"/>
  <c r="P230" i="3"/>
  <c r="J228" i="3"/>
  <c r="H233" i="3" l="1"/>
  <c r="I233" i="3" s="1"/>
  <c r="P231" i="3"/>
  <c r="J229" i="3"/>
  <c r="H234" i="3" l="1"/>
  <c r="I234" i="3" s="1"/>
  <c r="P232" i="3"/>
  <c r="J230" i="3"/>
  <c r="H235" i="3" l="1"/>
  <c r="I235" i="3" s="1"/>
  <c r="P233" i="3"/>
  <c r="J231" i="3"/>
  <c r="H236" i="3" l="1"/>
  <c r="I236" i="3" s="1"/>
  <c r="P234" i="3"/>
  <c r="J232" i="3"/>
  <c r="H237" i="3" l="1"/>
  <c r="I237" i="3" s="1"/>
  <c r="P235" i="3"/>
  <c r="J233" i="3"/>
  <c r="H238" i="3" l="1"/>
  <c r="I238" i="3" s="1"/>
  <c r="P236" i="3"/>
  <c r="J234" i="3"/>
  <c r="H239" i="3" l="1"/>
  <c r="I239" i="3" s="1"/>
  <c r="P237" i="3"/>
  <c r="J235" i="3"/>
  <c r="H240" i="3" l="1"/>
  <c r="I240" i="3" s="1"/>
  <c r="P238" i="3"/>
  <c r="J236" i="3"/>
  <c r="H241" i="3" l="1"/>
  <c r="I241" i="3" s="1"/>
  <c r="P239" i="3"/>
  <c r="J237" i="3"/>
  <c r="H242" i="3" l="1"/>
  <c r="I242" i="3" s="1"/>
  <c r="P240" i="3"/>
  <c r="J238" i="3"/>
  <c r="H243" i="3" l="1"/>
  <c r="I243" i="3" s="1"/>
  <c r="P241" i="3"/>
  <c r="J239" i="3"/>
  <c r="H244" i="3" l="1"/>
  <c r="I244" i="3" s="1"/>
  <c r="P242" i="3"/>
  <c r="J240" i="3"/>
  <c r="H245" i="3" l="1"/>
  <c r="I245" i="3" s="1"/>
  <c r="P243" i="3"/>
  <c r="J241" i="3"/>
  <c r="H246" i="3" l="1"/>
  <c r="I246" i="3" s="1"/>
  <c r="P244" i="3"/>
  <c r="J242" i="3"/>
  <c r="H247" i="3" l="1"/>
  <c r="I247" i="3" s="1"/>
  <c r="P245" i="3"/>
  <c r="J243" i="3"/>
  <c r="H248" i="3" l="1"/>
  <c r="I248" i="3" s="1"/>
  <c r="P246" i="3"/>
  <c r="J244" i="3"/>
  <c r="H249" i="3" l="1"/>
  <c r="I249" i="3" s="1"/>
  <c r="P247" i="3"/>
  <c r="J245" i="3"/>
  <c r="H250" i="3" l="1"/>
  <c r="I250" i="3" s="1"/>
  <c r="P248" i="3"/>
  <c r="J246" i="3"/>
  <c r="H251" i="3" l="1"/>
  <c r="I251" i="3" s="1"/>
  <c r="P249" i="3"/>
  <c r="J247" i="3"/>
  <c r="H252" i="3" l="1"/>
  <c r="I252" i="3" s="1"/>
  <c r="P250" i="3"/>
  <c r="J248" i="3"/>
  <c r="H253" i="3" l="1"/>
  <c r="I253" i="3" s="1"/>
  <c r="P251" i="3"/>
  <c r="J249" i="3"/>
  <c r="H254" i="3" l="1"/>
  <c r="I254" i="3" s="1"/>
  <c r="P252" i="3"/>
  <c r="J250" i="3"/>
  <c r="H255" i="3" l="1"/>
  <c r="I255" i="3" s="1"/>
  <c r="P253" i="3"/>
  <c r="J251" i="3"/>
  <c r="H256" i="3" l="1"/>
  <c r="I256" i="3" s="1"/>
  <c r="P254" i="3"/>
  <c r="J252" i="3"/>
  <c r="H257" i="3" l="1"/>
  <c r="I257" i="3" s="1"/>
  <c r="P255" i="3"/>
  <c r="J253" i="3"/>
  <c r="H258" i="3" l="1"/>
  <c r="I258" i="3" s="1"/>
  <c r="P256" i="3"/>
  <c r="J254" i="3"/>
  <c r="H259" i="3" l="1"/>
  <c r="I259" i="3" s="1"/>
  <c r="P257" i="3"/>
  <c r="J255" i="3"/>
  <c r="H260" i="3" l="1"/>
  <c r="I260" i="3" s="1"/>
  <c r="P258" i="3"/>
  <c r="J256" i="3"/>
  <c r="H261" i="3" l="1"/>
  <c r="I261" i="3" s="1"/>
  <c r="P259" i="3"/>
  <c r="J257" i="3"/>
  <c r="H262" i="3" l="1"/>
  <c r="I262" i="3" s="1"/>
  <c r="P260" i="3"/>
  <c r="J258" i="3"/>
  <c r="H263" i="3" l="1"/>
  <c r="I263" i="3" s="1"/>
  <c r="P261" i="3"/>
  <c r="J259" i="3"/>
  <c r="H264" i="3" l="1"/>
  <c r="I264" i="3" s="1"/>
  <c r="P262" i="3"/>
  <c r="J260" i="3"/>
  <c r="H265" i="3" l="1"/>
  <c r="I265" i="3" s="1"/>
  <c r="P263" i="3"/>
  <c r="J261" i="3"/>
  <c r="H266" i="3" l="1"/>
  <c r="I266" i="3" s="1"/>
  <c r="P264" i="3"/>
  <c r="J262" i="3"/>
  <c r="H267" i="3" l="1"/>
  <c r="I267" i="3" s="1"/>
  <c r="P265" i="3"/>
  <c r="J263" i="3"/>
  <c r="H268" i="3" l="1"/>
  <c r="I268" i="3" s="1"/>
  <c r="P266" i="3"/>
  <c r="J264" i="3"/>
  <c r="H269" i="3" l="1"/>
  <c r="I269" i="3" s="1"/>
  <c r="P267" i="3"/>
  <c r="J265" i="3"/>
  <c r="H270" i="3" l="1"/>
  <c r="I270" i="3" s="1"/>
  <c r="P268" i="3"/>
  <c r="J266" i="3"/>
  <c r="H271" i="3" l="1"/>
  <c r="I271" i="3" s="1"/>
  <c r="P269" i="3"/>
  <c r="J267" i="3"/>
  <c r="H272" i="3" l="1"/>
  <c r="I272" i="3" s="1"/>
  <c r="P270" i="3"/>
  <c r="J268" i="3"/>
  <c r="H273" i="3" l="1"/>
  <c r="I273" i="3" s="1"/>
  <c r="P271" i="3"/>
  <c r="J269" i="3"/>
  <c r="H274" i="3" l="1"/>
  <c r="I274" i="3" s="1"/>
  <c r="P272" i="3"/>
  <c r="J270" i="3"/>
  <c r="H275" i="3" l="1"/>
  <c r="I275" i="3" s="1"/>
  <c r="P273" i="3"/>
  <c r="J271" i="3"/>
  <c r="H276" i="3" l="1"/>
  <c r="I276" i="3" s="1"/>
  <c r="P274" i="3"/>
  <c r="J272" i="3"/>
  <c r="H277" i="3" l="1"/>
  <c r="I277" i="3" s="1"/>
  <c r="P275" i="3"/>
  <c r="J273" i="3"/>
  <c r="H278" i="3" l="1"/>
  <c r="I278" i="3" s="1"/>
  <c r="P276" i="3"/>
  <c r="J274" i="3"/>
  <c r="H279" i="3" l="1"/>
  <c r="I279" i="3" s="1"/>
  <c r="P277" i="3"/>
  <c r="J275" i="3"/>
  <c r="H280" i="3" l="1"/>
  <c r="I280" i="3" s="1"/>
  <c r="P278" i="3"/>
  <c r="J276" i="3"/>
  <c r="H281" i="3" l="1"/>
  <c r="I281" i="3" s="1"/>
  <c r="P279" i="3"/>
  <c r="J277" i="3"/>
  <c r="H282" i="3" l="1"/>
  <c r="I282" i="3" s="1"/>
  <c r="P280" i="3"/>
  <c r="J278" i="3"/>
  <c r="H283" i="3" l="1"/>
  <c r="I283" i="3" s="1"/>
  <c r="P281" i="3"/>
  <c r="J279" i="3"/>
  <c r="H284" i="3" l="1"/>
  <c r="I284" i="3" s="1"/>
  <c r="P282" i="3"/>
  <c r="J280" i="3"/>
  <c r="H285" i="3" l="1"/>
  <c r="I285" i="3" s="1"/>
  <c r="P283" i="3"/>
  <c r="J281" i="3"/>
  <c r="H286" i="3" l="1"/>
  <c r="I286" i="3" s="1"/>
  <c r="P284" i="3"/>
  <c r="J282" i="3"/>
  <c r="H287" i="3" l="1"/>
  <c r="I287" i="3" s="1"/>
  <c r="P285" i="3"/>
  <c r="J283" i="3"/>
  <c r="H288" i="3" l="1"/>
  <c r="I288" i="3" s="1"/>
  <c r="P286" i="3"/>
  <c r="J284" i="3"/>
  <c r="H289" i="3" l="1"/>
  <c r="I289" i="3" s="1"/>
  <c r="P287" i="3"/>
  <c r="J285" i="3"/>
  <c r="H290" i="3" l="1"/>
  <c r="I290" i="3" s="1"/>
  <c r="P288" i="3"/>
  <c r="J286" i="3"/>
  <c r="H291" i="3" l="1"/>
  <c r="I291" i="3" s="1"/>
  <c r="P289" i="3"/>
  <c r="J287" i="3"/>
  <c r="H292" i="3" l="1"/>
  <c r="I292" i="3" s="1"/>
  <c r="P290" i="3"/>
  <c r="J288" i="3"/>
  <c r="H293" i="3" l="1"/>
  <c r="I293" i="3" s="1"/>
  <c r="P291" i="3"/>
  <c r="J289" i="3"/>
  <c r="H294" i="3" l="1"/>
  <c r="I294" i="3" s="1"/>
  <c r="P292" i="3"/>
  <c r="J290" i="3"/>
  <c r="H295" i="3" l="1"/>
  <c r="I295" i="3" s="1"/>
  <c r="P293" i="3"/>
  <c r="J291" i="3"/>
  <c r="H296" i="3" l="1"/>
  <c r="I296" i="3" s="1"/>
  <c r="P294" i="3"/>
  <c r="J292" i="3"/>
  <c r="H297" i="3" l="1"/>
  <c r="I297" i="3" s="1"/>
  <c r="P295" i="3"/>
  <c r="J293" i="3"/>
  <c r="H298" i="3" l="1"/>
  <c r="I298" i="3" s="1"/>
  <c r="P296" i="3"/>
  <c r="J294" i="3"/>
  <c r="H299" i="3" l="1"/>
  <c r="I299" i="3" s="1"/>
  <c r="P297" i="3"/>
  <c r="J295" i="3"/>
  <c r="H300" i="3" l="1"/>
  <c r="I300" i="3" s="1"/>
  <c r="P298" i="3"/>
  <c r="J296" i="3"/>
  <c r="H301" i="3" l="1"/>
  <c r="I301" i="3" s="1"/>
  <c r="P299" i="3"/>
  <c r="J297" i="3"/>
  <c r="H302" i="3" l="1"/>
  <c r="I302" i="3" s="1"/>
  <c r="P300" i="3"/>
  <c r="J298" i="3"/>
  <c r="H303" i="3" l="1"/>
  <c r="I303" i="3" s="1"/>
  <c r="P301" i="3"/>
  <c r="J299" i="3"/>
  <c r="H304" i="3" l="1"/>
  <c r="I304" i="3" s="1"/>
  <c r="P302" i="3"/>
  <c r="J300" i="3"/>
  <c r="H305" i="3" l="1"/>
  <c r="I305" i="3" s="1"/>
  <c r="P303" i="3"/>
  <c r="J301" i="3"/>
  <c r="H306" i="3" l="1"/>
  <c r="I306" i="3" s="1"/>
  <c r="P304" i="3"/>
  <c r="J302" i="3"/>
  <c r="H307" i="3" l="1"/>
  <c r="I307" i="3" s="1"/>
  <c r="P305" i="3"/>
  <c r="J303" i="3"/>
  <c r="H308" i="3" l="1"/>
  <c r="I308" i="3" s="1"/>
  <c r="P306" i="3"/>
  <c r="J304" i="3"/>
  <c r="H309" i="3" l="1"/>
  <c r="I309" i="3" s="1"/>
  <c r="P307" i="3"/>
  <c r="J305" i="3"/>
  <c r="H310" i="3" l="1"/>
  <c r="I310" i="3" s="1"/>
  <c r="P308" i="3"/>
  <c r="J306" i="3"/>
  <c r="H311" i="3" l="1"/>
  <c r="I311" i="3" s="1"/>
  <c r="P309" i="3"/>
  <c r="J307" i="3"/>
  <c r="H312" i="3" l="1"/>
  <c r="I312" i="3" s="1"/>
  <c r="P310" i="3"/>
  <c r="J308" i="3"/>
  <c r="H313" i="3" l="1"/>
  <c r="I313" i="3" s="1"/>
  <c r="P311" i="3"/>
  <c r="J309" i="3"/>
  <c r="H314" i="3" l="1"/>
  <c r="I314" i="3" s="1"/>
  <c r="P312" i="3"/>
  <c r="J310" i="3"/>
  <c r="H315" i="3" l="1"/>
  <c r="I315" i="3" s="1"/>
  <c r="P313" i="3"/>
  <c r="J311" i="3"/>
  <c r="H316" i="3" l="1"/>
  <c r="I316" i="3" s="1"/>
  <c r="P314" i="3"/>
  <c r="J312" i="3"/>
  <c r="H317" i="3" l="1"/>
  <c r="I317" i="3" s="1"/>
  <c r="P315" i="3"/>
  <c r="J313" i="3"/>
  <c r="H318" i="3" l="1"/>
  <c r="I318" i="3" s="1"/>
  <c r="P316" i="3"/>
  <c r="J314" i="3"/>
  <c r="H319" i="3" l="1"/>
  <c r="I319" i="3" s="1"/>
  <c r="P317" i="3"/>
  <c r="J315" i="3"/>
  <c r="H320" i="3" l="1"/>
  <c r="I320" i="3" s="1"/>
  <c r="P318" i="3"/>
  <c r="J316" i="3"/>
  <c r="H321" i="3" l="1"/>
  <c r="I321" i="3" s="1"/>
  <c r="P319" i="3"/>
  <c r="J317" i="3"/>
  <c r="H322" i="3" l="1"/>
  <c r="I322" i="3" s="1"/>
  <c r="P320" i="3"/>
  <c r="J318" i="3"/>
  <c r="H323" i="3" l="1"/>
  <c r="I323" i="3" s="1"/>
  <c r="P321" i="3"/>
  <c r="J319" i="3"/>
  <c r="H324" i="3" l="1"/>
  <c r="I324" i="3" s="1"/>
  <c r="P322" i="3"/>
  <c r="J320" i="3"/>
  <c r="H325" i="3" l="1"/>
  <c r="I325" i="3" s="1"/>
  <c r="P323" i="3"/>
  <c r="J321" i="3"/>
  <c r="H326" i="3" l="1"/>
  <c r="I326" i="3" s="1"/>
  <c r="P324" i="3"/>
  <c r="J322" i="3"/>
  <c r="H327" i="3" l="1"/>
  <c r="I327" i="3" s="1"/>
  <c r="P325" i="3"/>
  <c r="J323" i="3"/>
  <c r="H328" i="3" l="1"/>
  <c r="I328" i="3" s="1"/>
  <c r="P326" i="3"/>
  <c r="J324" i="3"/>
  <c r="H329" i="3" l="1"/>
  <c r="I329" i="3" s="1"/>
  <c r="P327" i="3"/>
  <c r="J325" i="3"/>
  <c r="H330" i="3" l="1"/>
  <c r="I330" i="3" s="1"/>
  <c r="P328" i="3"/>
  <c r="J326" i="3"/>
  <c r="H331" i="3" l="1"/>
  <c r="I331" i="3" s="1"/>
  <c r="P329" i="3"/>
  <c r="J327" i="3"/>
  <c r="H332" i="3" l="1"/>
  <c r="I332" i="3" s="1"/>
  <c r="P330" i="3"/>
  <c r="J328" i="3"/>
  <c r="H333" i="3" l="1"/>
  <c r="I333" i="3" s="1"/>
  <c r="P331" i="3"/>
  <c r="J329" i="3"/>
  <c r="H334" i="3" l="1"/>
  <c r="I334" i="3" s="1"/>
  <c r="P332" i="3"/>
  <c r="J330" i="3"/>
  <c r="H335" i="3" l="1"/>
  <c r="I335" i="3" s="1"/>
  <c r="P333" i="3"/>
  <c r="J331" i="3"/>
  <c r="H336" i="3" l="1"/>
  <c r="I336" i="3" s="1"/>
  <c r="P334" i="3"/>
  <c r="J332" i="3"/>
  <c r="H337" i="3" l="1"/>
  <c r="I337" i="3" s="1"/>
  <c r="P335" i="3"/>
  <c r="J333" i="3"/>
  <c r="H338" i="3" l="1"/>
  <c r="I338" i="3" s="1"/>
  <c r="P336" i="3"/>
  <c r="J334" i="3"/>
  <c r="H339" i="3" l="1"/>
  <c r="I339" i="3" s="1"/>
  <c r="P337" i="3"/>
  <c r="J335" i="3"/>
  <c r="H340" i="3" l="1"/>
  <c r="I340" i="3" s="1"/>
  <c r="P338" i="3"/>
  <c r="J336" i="3"/>
  <c r="H341" i="3" l="1"/>
  <c r="I341" i="3" s="1"/>
  <c r="P339" i="3"/>
  <c r="J337" i="3"/>
  <c r="H342" i="3" l="1"/>
  <c r="I342" i="3" s="1"/>
  <c r="P340" i="3"/>
  <c r="J338" i="3"/>
  <c r="H343" i="3" l="1"/>
  <c r="I343" i="3" s="1"/>
  <c r="P341" i="3"/>
  <c r="J339" i="3"/>
  <c r="H344" i="3" l="1"/>
  <c r="I344" i="3" s="1"/>
  <c r="P342" i="3"/>
  <c r="J340" i="3"/>
  <c r="H345" i="3" l="1"/>
  <c r="I345" i="3" s="1"/>
  <c r="P343" i="3"/>
  <c r="J341" i="3"/>
  <c r="H346" i="3" l="1"/>
  <c r="I346" i="3" s="1"/>
  <c r="P344" i="3"/>
  <c r="J342" i="3"/>
  <c r="H347" i="3" l="1"/>
  <c r="I347" i="3" s="1"/>
  <c r="P345" i="3"/>
  <c r="J343" i="3"/>
  <c r="H348" i="3" l="1"/>
  <c r="I348" i="3" s="1"/>
  <c r="P346" i="3"/>
  <c r="J344" i="3"/>
  <c r="H349" i="3" l="1"/>
  <c r="I349" i="3" s="1"/>
  <c r="P347" i="3"/>
  <c r="J345" i="3"/>
  <c r="H350" i="3" l="1"/>
  <c r="I350" i="3" s="1"/>
  <c r="P348" i="3"/>
  <c r="J346" i="3"/>
  <c r="H351" i="3" l="1"/>
  <c r="I351" i="3" s="1"/>
  <c r="P349" i="3"/>
  <c r="J347" i="3"/>
  <c r="H352" i="3" l="1"/>
  <c r="I352" i="3" s="1"/>
  <c r="P350" i="3"/>
  <c r="J348" i="3"/>
  <c r="H353" i="3" l="1"/>
  <c r="I353" i="3" s="1"/>
  <c r="P351" i="3"/>
  <c r="J349" i="3"/>
  <c r="H354" i="3" l="1"/>
  <c r="I354" i="3" s="1"/>
  <c r="P352" i="3"/>
  <c r="J350" i="3"/>
  <c r="H355" i="3" l="1"/>
  <c r="I355" i="3" s="1"/>
  <c r="P353" i="3"/>
  <c r="J351" i="3"/>
  <c r="H356" i="3" l="1"/>
  <c r="I356" i="3" s="1"/>
  <c r="P354" i="3"/>
  <c r="J352" i="3"/>
  <c r="H357" i="3" l="1"/>
  <c r="I357" i="3" s="1"/>
  <c r="P355" i="3"/>
  <c r="J353" i="3"/>
  <c r="H358" i="3" l="1"/>
  <c r="I358" i="3" s="1"/>
  <c r="P356" i="3"/>
  <c r="J354" i="3"/>
  <c r="H359" i="3" l="1"/>
  <c r="I359" i="3" s="1"/>
  <c r="P357" i="3"/>
  <c r="J355" i="3"/>
  <c r="H360" i="3" l="1"/>
  <c r="I360" i="3" s="1"/>
  <c r="P358" i="3"/>
  <c r="J356" i="3"/>
  <c r="H361" i="3" l="1"/>
  <c r="I361" i="3" s="1"/>
  <c r="P359" i="3"/>
  <c r="J357" i="3"/>
  <c r="H362" i="3" l="1"/>
  <c r="I362" i="3" s="1"/>
  <c r="P360" i="3"/>
  <c r="J358" i="3"/>
  <c r="H363" i="3" l="1"/>
  <c r="I363" i="3" s="1"/>
  <c r="P361" i="3"/>
  <c r="J359" i="3"/>
  <c r="H364" i="3" l="1"/>
  <c r="I364" i="3" s="1"/>
  <c r="P362" i="3"/>
  <c r="J360" i="3"/>
  <c r="H365" i="3" l="1"/>
  <c r="I365" i="3" s="1"/>
  <c r="P363" i="3"/>
  <c r="J361" i="3"/>
  <c r="H366" i="3" l="1"/>
  <c r="I366" i="3" s="1"/>
  <c r="P364" i="3"/>
  <c r="J362" i="3"/>
  <c r="H367" i="3" l="1"/>
  <c r="I367" i="3" s="1"/>
  <c r="P365" i="3"/>
  <c r="J363" i="3"/>
  <c r="H368" i="3" l="1"/>
  <c r="I368" i="3" s="1"/>
  <c r="P366" i="3"/>
  <c r="J364" i="3"/>
  <c r="H369" i="3" l="1"/>
  <c r="I369" i="3" s="1"/>
  <c r="P367" i="3"/>
  <c r="J365" i="3"/>
  <c r="H370" i="3" l="1"/>
  <c r="I370" i="3" s="1"/>
  <c r="P368" i="3"/>
  <c r="J366" i="3"/>
  <c r="H371" i="3" l="1"/>
  <c r="I371" i="3" s="1"/>
  <c r="P369" i="3"/>
  <c r="J367" i="3"/>
  <c r="H372" i="3" l="1"/>
  <c r="I372" i="3" s="1"/>
  <c r="P370" i="3"/>
  <c r="J368" i="3"/>
  <c r="H373" i="3" l="1"/>
  <c r="I373" i="3" s="1"/>
  <c r="P371" i="3"/>
  <c r="J369" i="3"/>
  <c r="H374" i="3" l="1"/>
  <c r="I374" i="3" s="1"/>
  <c r="P372" i="3"/>
  <c r="J370" i="3"/>
  <c r="H375" i="3" l="1"/>
  <c r="I375" i="3" s="1"/>
  <c r="P373" i="3"/>
  <c r="J371" i="3"/>
  <c r="H376" i="3" l="1"/>
  <c r="I376" i="3" s="1"/>
  <c r="P374" i="3"/>
  <c r="J372" i="3"/>
  <c r="H377" i="3" l="1"/>
  <c r="I377" i="3" s="1"/>
  <c r="P375" i="3"/>
  <c r="J373" i="3"/>
  <c r="H378" i="3" l="1"/>
  <c r="I378" i="3" s="1"/>
  <c r="P376" i="3"/>
  <c r="J374" i="3"/>
  <c r="H379" i="3" l="1"/>
  <c r="I379" i="3" s="1"/>
  <c r="P377" i="3"/>
  <c r="J375" i="3"/>
  <c r="H380" i="3" l="1"/>
  <c r="I380" i="3" s="1"/>
  <c r="P378" i="3"/>
  <c r="J376" i="3"/>
  <c r="H381" i="3" l="1"/>
  <c r="I381" i="3" s="1"/>
  <c r="P379" i="3"/>
  <c r="J377" i="3"/>
  <c r="H382" i="3" l="1"/>
  <c r="I382" i="3" s="1"/>
  <c r="P380" i="3"/>
  <c r="J378" i="3"/>
  <c r="H383" i="3" l="1"/>
  <c r="I383" i="3" s="1"/>
  <c r="P381" i="3"/>
  <c r="J379" i="3"/>
  <c r="H384" i="3" l="1"/>
  <c r="I384" i="3" s="1"/>
  <c r="P382" i="3"/>
  <c r="J380" i="3"/>
  <c r="H385" i="3" l="1"/>
  <c r="I385" i="3" s="1"/>
  <c r="P383" i="3"/>
  <c r="J381" i="3"/>
  <c r="H386" i="3" l="1"/>
  <c r="I386" i="3" s="1"/>
  <c r="P384" i="3"/>
  <c r="J382" i="3"/>
  <c r="H387" i="3" l="1"/>
  <c r="I387" i="3" s="1"/>
  <c r="P385" i="3"/>
  <c r="J383" i="3"/>
  <c r="H388" i="3" l="1"/>
  <c r="I388" i="3" s="1"/>
  <c r="P386" i="3"/>
  <c r="J384" i="3"/>
  <c r="H389" i="3" l="1"/>
  <c r="I389" i="3" s="1"/>
  <c r="P387" i="3"/>
  <c r="J385" i="3"/>
  <c r="H390" i="3" l="1"/>
  <c r="I390" i="3" s="1"/>
  <c r="P388" i="3"/>
  <c r="J386" i="3"/>
  <c r="H391" i="3" l="1"/>
  <c r="I391" i="3" s="1"/>
  <c r="P389" i="3"/>
  <c r="J387" i="3"/>
  <c r="H392" i="3" l="1"/>
  <c r="I392" i="3" s="1"/>
  <c r="P390" i="3"/>
  <c r="J388" i="3"/>
  <c r="H393" i="3" l="1"/>
  <c r="I393" i="3" s="1"/>
  <c r="P391" i="3"/>
  <c r="J389" i="3"/>
  <c r="H394" i="3" l="1"/>
  <c r="I394" i="3" s="1"/>
  <c r="P392" i="3"/>
  <c r="J390" i="3"/>
  <c r="H395" i="3" l="1"/>
  <c r="I395" i="3" s="1"/>
  <c r="P393" i="3"/>
  <c r="J391" i="3"/>
  <c r="H396" i="3" l="1"/>
  <c r="I396" i="3" s="1"/>
  <c r="P394" i="3"/>
  <c r="J392" i="3"/>
  <c r="H397" i="3" l="1"/>
  <c r="I397" i="3" s="1"/>
  <c r="P395" i="3"/>
  <c r="J393" i="3"/>
  <c r="H398" i="3" l="1"/>
  <c r="I398" i="3" s="1"/>
  <c r="P396" i="3"/>
  <c r="J394" i="3"/>
  <c r="H399" i="3" l="1"/>
  <c r="I399" i="3" s="1"/>
  <c r="P397" i="3"/>
  <c r="J395" i="3"/>
  <c r="H400" i="3" l="1"/>
  <c r="I400" i="3" s="1"/>
  <c r="P398" i="3"/>
  <c r="J396" i="3"/>
  <c r="H401" i="3" l="1"/>
  <c r="I401" i="3" s="1"/>
  <c r="P399" i="3"/>
  <c r="J397" i="3"/>
  <c r="H402" i="3" l="1"/>
  <c r="I402" i="3" s="1"/>
  <c r="P400" i="3"/>
  <c r="J398" i="3"/>
  <c r="H403" i="3" l="1"/>
  <c r="I403" i="3" s="1"/>
  <c r="P401" i="3"/>
  <c r="J399" i="3"/>
  <c r="H404" i="3" l="1"/>
  <c r="I404" i="3" s="1"/>
  <c r="P402" i="3"/>
  <c r="J400" i="3"/>
  <c r="H405" i="3" l="1"/>
  <c r="I405" i="3" s="1"/>
  <c r="P403" i="3"/>
  <c r="J401" i="3"/>
  <c r="H406" i="3" l="1"/>
  <c r="I406" i="3" s="1"/>
  <c r="P404" i="3"/>
  <c r="J402" i="3"/>
  <c r="H407" i="3" l="1"/>
  <c r="I407" i="3" s="1"/>
  <c r="P405" i="3"/>
  <c r="J403" i="3"/>
  <c r="H408" i="3" l="1"/>
  <c r="I408" i="3" s="1"/>
  <c r="P406" i="3"/>
  <c r="J404" i="3"/>
  <c r="H409" i="3" l="1"/>
  <c r="I409" i="3" s="1"/>
  <c r="P407" i="3"/>
  <c r="J405" i="3"/>
  <c r="H410" i="3" l="1"/>
  <c r="I410" i="3" s="1"/>
  <c r="P408" i="3"/>
  <c r="J406" i="3"/>
  <c r="H411" i="3" l="1"/>
  <c r="I411" i="3" s="1"/>
  <c r="P409" i="3"/>
  <c r="J407" i="3"/>
  <c r="H412" i="3" l="1"/>
  <c r="I412" i="3" s="1"/>
  <c r="P410" i="3"/>
  <c r="J408" i="3"/>
  <c r="H413" i="3" l="1"/>
  <c r="I413" i="3" s="1"/>
  <c r="P411" i="3"/>
  <c r="J409" i="3"/>
  <c r="H414" i="3" l="1"/>
  <c r="I414" i="3" s="1"/>
  <c r="P412" i="3"/>
  <c r="J410" i="3"/>
  <c r="H415" i="3" l="1"/>
  <c r="I415" i="3" s="1"/>
  <c r="P413" i="3"/>
  <c r="J411" i="3"/>
  <c r="H416" i="3" l="1"/>
  <c r="I416" i="3" s="1"/>
  <c r="P414" i="3"/>
  <c r="J412" i="3"/>
  <c r="H417" i="3" l="1"/>
  <c r="I417" i="3" s="1"/>
  <c r="P415" i="3"/>
  <c r="J413" i="3"/>
  <c r="H418" i="3" l="1"/>
  <c r="I418" i="3" s="1"/>
  <c r="P416" i="3"/>
  <c r="J414" i="3"/>
  <c r="H419" i="3" l="1"/>
  <c r="I419" i="3" s="1"/>
  <c r="P417" i="3"/>
  <c r="J415" i="3"/>
  <c r="H420" i="3" l="1"/>
  <c r="I420" i="3" s="1"/>
  <c r="P418" i="3"/>
  <c r="J416" i="3"/>
  <c r="H421" i="3" l="1"/>
  <c r="I421" i="3" s="1"/>
  <c r="P419" i="3"/>
  <c r="J417" i="3"/>
  <c r="H422" i="3" l="1"/>
  <c r="I422" i="3" s="1"/>
  <c r="P420" i="3"/>
  <c r="J418" i="3"/>
  <c r="H423" i="3" l="1"/>
  <c r="I423" i="3" s="1"/>
  <c r="P421" i="3"/>
  <c r="J419" i="3"/>
  <c r="H424" i="3" l="1"/>
  <c r="I424" i="3" s="1"/>
  <c r="P422" i="3"/>
  <c r="J420" i="3"/>
  <c r="H425" i="3" l="1"/>
  <c r="I425" i="3" s="1"/>
  <c r="P423" i="3"/>
  <c r="J421" i="3"/>
  <c r="H426" i="3" l="1"/>
  <c r="I426" i="3" s="1"/>
  <c r="P424" i="3"/>
  <c r="J422" i="3"/>
  <c r="H427" i="3" l="1"/>
  <c r="I427" i="3" s="1"/>
  <c r="P425" i="3"/>
  <c r="J423" i="3"/>
  <c r="H428" i="3" l="1"/>
  <c r="I428" i="3" s="1"/>
  <c r="P426" i="3"/>
  <c r="J424" i="3"/>
  <c r="H429" i="3" l="1"/>
  <c r="I429" i="3" s="1"/>
  <c r="P427" i="3"/>
  <c r="J425" i="3"/>
  <c r="H430" i="3" l="1"/>
  <c r="I430" i="3" s="1"/>
  <c r="P428" i="3"/>
  <c r="J426" i="3"/>
  <c r="H431" i="3" l="1"/>
  <c r="I431" i="3" s="1"/>
  <c r="P429" i="3"/>
  <c r="J427" i="3"/>
  <c r="H432" i="3" l="1"/>
  <c r="I432" i="3" s="1"/>
  <c r="P430" i="3"/>
  <c r="J428" i="3"/>
  <c r="H433" i="3" l="1"/>
  <c r="I433" i="3" s="1"/>
  <c r="P431" i="3"/>
  <c r="J429" i="3"/>
  <c r="H434" i="3" l="1"/>
  <c r="I434" i="3" s="1"/>
  <c r="P432" i="3"/>
  <c r="J430" i="3"/>
  <c r="H435" i="3" l="1"/>
  <c r="I435" i="3" s="1"/>
  <c r="P433" i="3"/>
  <c r="J431" i="3"/>
  <c r="H436" i="3" l="1"/>
  <c r="I436" i="3" s="1"/>
  <c r="P434" i="3"/>
  <c r="J432" i="3"/>
  <c r="H437" i="3" l="1"/>
  <c r="I437" i="3" s="1"/>
  <c r="P435" i="3"/>
  <c r="J433" i="3"/>
  <c r="H438" i="3" l="1"/>
  <c r="I438" i="3" s="1"/>
  <c r="P436" i="3"/>
  <c r="J434" i="3"/>
  <c r="H439" i="3" l="1"/>
  <c r="I439" i="3" s="1"/>
  <c r="P437" i="3"/>
  <c r="J435" i="3"/>
  <c r="H440" i="3" l="1"/>
  <c r="I440" i="3" s="1"/>
  <c r="P438" i="3"/>
  <c r="J436" i="3"/>
  <c r="H441" i="3" l="1"/>
  <c r="I441" i="3" s="1"/>
  <c r="P439" i="3"/>
  <c r="J437" i="3"/>
  <c r="H442" i="3" l="1"/>
  <c r="I442" i="3" s="1"/>
  <c r="P440" i="3"/>
  <c r="J438" i="3"/>
  <c r="H443" i="3" l="1"/>
  <c r="I443" i="3" s="1"/>
  <c r="P441" i="3"/>
  <c r="J439" i="3"/>
  <c r="H444" i="3" l="1"/>
  <c r="I444" i="3" s="1"/>
  <c r="P442" i="3"/>
  <c r="J440" i="3"/>
  <c r="H445" i="3" l="1"/>
  <c r="I445" i="3" s="1"/>
  <c r="P443" i="3"/>
  <c r="J441" i="3"/>
  <c r="H446" i="3" l="1"/>
  <c r="I446" i="3" s="1"/>
  <c r="P444" i="3"/>
  <c r="J442" i="3"/>
  <c r="H447" i="3" l="1"/>
  <c r="I447" i="3" s="1"/>
  <c r="P445" i="3"/>
  <c r="J443" i="3"/>
  <c r="H448" i="3" l="1"/>
  <c r="I448" i="3" s="1"/>
  <c r="P446" i="3"/>
  <c r="J444" i="3"/>
  <c r="H449" i="3" l="1"/>
  <c r="I449" i="3" s="1"/>
  <c r="P447" i="3"/>
  <c r="J445" i="3"/>
  <c r="H450" i="3" l="1"/>
  <c r="I450" i="3" s="1"/>
  <c r="P448" i="3"/>
  <c r="J446" i="3"/>
  <c r="H451" i="3" l="1"/>
  <c r="I451" i="3" s="1"/>
  <c r="P449" i="3"/>
  <c r="J447" i="3"/>
  <c r="H452" i="3" l="1"/>
  <c r="I452" i="3" s="1"/>
  <c r="P450" i="3"/>
  <c r="J448" i="3"/>
  <c r="H453" i="3" l="1"/>
  <c r="I453" i="3" s="1"/>
  <c r="P451" i="3"/>
  <c r="J449" i="3"/>
  <c r="H454" i="3" l="1"/>
  <c r="I454" i="3" s="1"/>
  <c r="P452" i="3"/>
  <c r="J450" i="3"/>
  <c r="H455" i="3" l="1"/>
  <c r="I455" i="3" s="1"/>
  <c r="P453" i="3"/>
  <c r="J451" i="3"/>
  <c r="H456" i="3" l="1"/>
  <c r="I456" i="3" s="1"/>
  <c r="P454" i="3"/>
  <c r="J452" i="3"/>
  <c r="H457" i="3" l="1"/>
  <c r="I457" i="3" s="1"/>
  <c r="P455" i="3"/>
  <c r="J453" i="3"/>
  <c r="H458" i="3" l="1"/>
  <c r="I458" i="3" s="1"/>
  <c r="P456" i="3"/>
  <c r="J454" i="3"/>
  <c r="H459" i="3" l="1"/>
  <c r="I459" i="3" s="1"/>
  <c r="P457" i="3"/>
  <c r="J455" i="3"/>
  <c r="H460" i="3" l="1"/>
  <c r="I460" i="3" s="1"/>
  <c r="P458" i="3"/>
  <c r="J456" i="3"/>
  <c r="H461" i="3" l="1"/>
  <c r="I461" i="3" s="1"/>
  <c r="P459" i="3"/>
  <c r="J457" i="3"/>
  <c r="H462" i="3" l="1"/>
  <c r="I462" i="3" s="1"/>
  <c r="P460" i="3"/>
  <c r="J458" i="3"/>
  <c r="H463" i="3" l="1"/>
  <c r="I463" i="3" s="1"/>
  <c r="P461" i="3"/>
  <c r="J459" i="3"/>
  <c r="H464" i="3" l="1"/>
  <c r="I464" i="3" s="1"/>
  <c r="P462" i="3"/>
  <c r="J460" i="3"/>
  <c r="H465" i="3" l="1"/>
  <c r="I465" i="3" s="1"/>
  <c r="P463" i="3"/>
  <c r="J461" i="3"/>
  <c r="H466" i="3" l="1"/>
  <c r="I466" i="3" s="1"/>
  <c r="P464" i="3"/>
  <c r="J462" i="3"/>
  <c r="H467" i="3" l="1"/>
  <c r="I467" i="3" s="1"/>
  <c r="P465" i="3"/>
  <c r="J463" i="3"/>
  <c r="H468" i="3" l="1"/>
  <c r="I468" i="3" s="1"/>
  <c r="P466" i="3"/>
  <c r="J464" i="3"/>
  <c r="H469" i="3" l="1"/>
  <c r="I469" i="3" s="1"/>
  <c r="P467" i="3"/>
  <c r="J465" i="3"/>
  <c r="H470" i="3" l="1"/>
  <c r="I470" i="3" s="1"/>
  <c r="P468" i="3"/>
  <c r="J466" i="3"/>
  <c r="H471" i="3" l="1"/>
  <c r="I471" i="3" s="1"/>
  <c r="P469" i="3"/>
  <c r="J467" i="3"/>
  <c r="H472" i="3" l="1"/>
  <c r="I472" i="3" s="1"/>
  <c r="P470" i="3"/>
  <c r="J468" i="3"/>
  <c r="H473" i="3" l="1"/>
  <c r="I473" i="3" s="1"/>
  <c r="P471" i="3"/>
  <c r="J469" i="3"/>
  <c r="H474" i="3" l="1"/>
  <c r="I474" i="3" s="1"/>
  <c r="P472" i="3"/>
  <c r="J470" i="3"/>
  <c r="H475" i="3" l="1"/>
  <c r="I475" i="3" s="1"/>
  <c r="P473" i="3"/>
  <c r="J471" i="3"/>
  <c r="H476" i="3" l="1"/>
  <c r="I476" i="3" s="1"/>
  <c r="P474" i="3"/>
  <c r="J472" i="3"/>
  <c r="H477" i="3" l="1"/>
  <c r="I477" i="3" s="1"/>
  <c r="P475" i="3"/>
  <c r="J473" i="3"/>
  <c r="H478" i="3" l="1"/>
  <c r="I478" i="3" s="1"/>
  <c r="P476" i="3"/>
  <c r="J474" i="3"/>
  <c r="H479" i="3" l="1"/>
  <c r="I479" i="3" s="1"/>
  <c r="P477" i="3"/>
  <c r="J475" i="3"/>
  <c r="H480" i="3" l="1"/>
  <c r="I480" i="3" s="1"/>
  <c r="P478" i="3"/>
  <c r="J476" i="3"/>
  <c r="H481" i="3" l="1"/>
  <c r="I481" i="3" s="1"/>
  <c r="P479" i="3"/>
  <c r="J477" i="3"/>
  <c r="H482" i="3" l="1"/>
  <c r="I482" i="3" s="1"/>
  <c r="P480" i="3"/>
  <c r="J478" i="3"/>
  <c r="H483" i="3" l="1"/>
  <c r="I483" i="3" s="1"/>
  <c r="P481" i="3"/>
  <c r="J479" i="3"/>
  <c r="H484" i="3" l="1"/>
  <c r="I484" i="3" s="1"/>
  <c r="P482" i="3"/>
  <c r="J480" i="3"/>
  <c r="H485" i="3" l="1"/>
  <c r="I485" i="3" s="1"/>
  <c r="P483" i="3"/>
  <c r="J481" i="3"/>
  <c r="H486" i="3" l="1"/>
  <c r="I486" i="3" s="1"/>
  <c r="P484" i="3"/>
  <c r="J482" i="3"/>
  <c r="H487" i="3" l="1"/>
  <c r="I487" i="3" s="1"/>
  <c r="P485" i="3"/>
  <c r="J483" i="3"/>
  <c r="H488" i="3" l="1"/>
  <c r="I488" i="3" s="1"/>
  <c r="P486" i="3"/>
  <c r="J484" i="3"/>
  <c r="H489" i="3" l="1"/>
  <c r="I489" i="3" s="1"/>
  <c r="P487" i="3"/>
  <c r="J485" i="3"/>
  <c r="H490" i="3" l="1"/>
  <c r="I490" i="3" s="1"/>
  <c r="P488" i="3"/>
  <c r="J486" i="3"/>
  <c r="H491" i="3" l="1"/>
  <c r="I491" i="3" s="1"/>
  <c r="P489" i="3"/>
  <c r="J487" i="3"/>
  <c r="H492" i="3" l="1"/>
  <c r="I492" i="3" s="1"/>
  <c r="P490" i="3"/>
  <c r="J488" i="3"/>
  <c r="H493" i="3" l="1"/>
  <c r="I493" i="3" s="1"/>
  <c r="P491" i="3"/>
  <c r="J489" i="3"/>
  <c r="H494" i="3" l="1"/>
  <c r="I494" i="3" s="1"/>
  <c r="P492" i="3"/>
  <c r="J490" i="3"/>
  <c r="H495" i="3" l="1"/>
  <c r="I495" i="3" s="1"/>
  <c r="P493" i="3"/>
  <c r="J491" i="3"/>
  <c r="H496" i="3" l="1"/>
  <c r="I496" i="3" s="1"/>
  <c r="P494" i="3"/>
  <c r="J492" i="3"/>
  <c r="H497" i="3" l="1"/>
  <c r="I497" i="3" s="1"/>
  <c r="P495" i="3"/>
  <c r="J493" i="3"/>
  <c r="H498" i="3" l="1"/>
  <c r="I498" i="3" s="1"/>
  <c r="P496" i="3"/>
  <c r="J494" i="3"/>
  <c r="H499" i="3" l="1"/>
  <c r="I499" i="3" s="1"/>
  <c r="P497" i="3"/>
  <c r="J495" i="3"/>
  <c r="H500" i="3" l="1"/>
  <c r="I500" i="3" s="1"/>
  <c r="P498" i="3"/>
  <c r="J496" i="3"/>
  <c r="H501" i="3" l="1"/>
  <c r="I501" i="3" s="1"/>
  <c r="P499" i="3"/>
  <c r="J497" i="3"/>
  <c r="H502" i="3" l="1"/>
  <c r="I502" i="3" s="1"/>
  <c r="P500" i="3"/>
  <c r="J498" i="3"/>
  <c r="H503" i="3" l="1"/>
  <c r="I503" i="3" s="1"/>
  <c r="P501" i="3"/>
  <c r="J499" i="3"/>
  <c r="P502" i="3" l="1"/>
  <c r="J500" i="3"/>
  <c r="P503" i="3" l="1"/>
  <c r="J501" i="3"/>
  <c r="J502" i="3" l="1"/>
  <c r="J503" i="3"/>
  <c r="AI2" i="3" l="1" a="1"/>
  <c r="AI2" i="3" l="1"/>
  <c r="AI10" i="3"/>
  <c r="AI18" i="3"/>
  <c r="AI26" i="3"/>
  <c r="AI34" i="3"/>
  <c r="AI42" i="3"/>
  <c r="AI50" i="3"/>
  <c r="AI38" i="3"/>
  <c r="AI7" i="3"/>
  <c r="AI47" i="3"/>
  <c r="AI24" i="3"/>
  <c r="AI48" i="3"/>
  <c r="AI33" i="3"/>
  <c r="AI3" i="3"/>
  <c r="AI11" i="3"/>
  <c r="AI19" i="3"/>
  <c r="AI27" i="3"/>
  <c r="AI35" i="3"/>
  <c r="AI43" i="3"/>
  <c r="AI51" i="3"/>
  <c r="AI14" i="3"/>
  <c r="AI23" i="3"/>
  <c r="AI39" i="3"/>
  <c r="AI16" i="3"/>
  <c r="AI40" i="3"/>
  <c r="AI17" i="3"/>
  <c r="AI41" i="3"/>
  <c r="AI4" i="3"/>
  <c r="AI12" i="3"/>
  <c r="AI20" i="3"/>
  <c r="AI28" i="3"/>
  <c r="AI36" i="3"/>
  <c r="AI44" i="3"/>
  <c r="AI52" i="3"/>
  <c r="AI6" i="3"/>
  <c r="AI22" i="3"/>
  <c r="AI30" i="3"/>
  <c r="AI46" i="3"/>
  <c r="AI15" i="3"/>
  <c r="AI31" i="3"/>
  <c r="AI8" i="3"/>
  <c r="AI32" i="3"/>
  <c r="AI9" i="3"/>
  <c r="AI25" i="3"/>
  <c r="AI49" i="3"/>
  <c r="AI5" i="3"/>
  <c r="AI13" i="3"/>
  <c r="AI21" i="3"/>
  <c r="AI29" i="3"/>
  <c r="AI37" i="3"/>
  <c r="AI45" i="3"/>
  <c r="AI53" i="3" l="1"/>
  <c r="AJ48" i="3" s="1"/>
  <c r="AJ9" i="3" l="1"/>
  <c r="AJ10" i="3"/>
  <c r="AJ11" i="3"/>
  <c r="AJ20" i="3"/>
  <c r="AJ21" i="3"/>
  <c r="AJ30" i="3"/>
  <c r="AJ40" i="3"/>
  <c r="AJ27" i="3"/>
  <c r="AJ46" i="3"/>
  <c r="AJ45" i="3"/>
  <c r="AJ39" i="3"/>
  <c r="AJ6" i="3"/>
  <c r="AJ4" i="3"/>
  <c r="AJ32" i="3"/>
  <c r="AJ17" i="3"/>
  <c r="AJ18" i="3"/>
  <c r="AJ19" i="3"/>
  <c r="AJ28" i="3"/>
  <c r="AJ38" i="3"/>
  <c r="AJ26" i="3"/>
  <c r="AJ15" i="3"/>
  <c r="AJ37" i="3"/>
  <c r="AJ42" i="3"/>
  <c r="AJ50" i="3"/>
  <c r="AJ24" i="3"/>
  <c r="AJ36" i="3"/>
  <c r="AJ44" i="3"/>
  <c r="AJ43" i="3"/>
  <c r="AJ51" i="3"/>
  <c r="AJ5" i="3"/>
  <c r="AJ13" i="3"/>
  <c r="AJ33" i="3"/>
  <c r="AJ35" i="3"/>
  <c r="AJ47" i="3"/>
  <c r="AJ52" i="3"/>
  <c r="AJ23" i="3"/>
  <c r="AJ31" i="3"/>
  <c r="AJ22" i="3"/>
  <c r="AJ41" i="3"/>
  <c r="AJ16" i="3"/>
  <c r="AJ14" i="3"/>
  <c r="AJ49" i="3"/>
  <c r="AJ12" i="3"/>
  <c r="AJ7" i="3"/>
  <c r="AJ2" i="3"/>
  <c r="AJ29" i="3"/>
  <c r="AJ25" i="3"/>
  <c r="AJ34" i="3"/>
  <c r="AJ8" i="3"/>
  <c r="AJ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tc={B3C15CE3-FB2E-4B4E-A844-C1D8117E2E59}</author>
    <author>tc={8BF766F8-3BD1-4EA7-9A0E-F88CA1E23D7D}</author>
  </authors>
  <commentList>
    <comment ref="O1" authorId="0" shapeId="0" xr:uid="{B3C15CE3-FB2E-4B4E-A844-C1D8117E2E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EPAM</t>
      </text>
    </comment>
    <comment ref="P1" authorId="1" shapeId="0" xr:uid="{8BF766F8-3BD1-4EA7-9A0E-F88CA1E23D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ECM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734BF-BE7D-4A2B-AEFE-218B04B1FFEA}" keepAlive="1" name="Consulta - BrentCrudeOilPrice" description="Conexión a la consulta 'BrentCrudeOilPrice' en el libro." type="5" refreshedVersion="8" background="1" saveData="1">
    <dbPr connection="Provider=Microsoft.Mashup.OleDb.1;Data Source=$Workbook$;Location=BrentCrudeOilPrice;Extended Properties=&quot;&quot;" command="SELECT * FROM [BrentCrudeOilPric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96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</futureMetadata>
  <cellMetadata count="1">
    <bk>
      <rc t="1" v="0"/>
    </bk>
  </cellMetadata>
  <valueMetadata count="196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</valueMetadata>
</metadata>
</file>

<file path=xl/sharedStrings.xml><?xml version="1.0" encoding="utf-8"?>
<sst xmlns="http://schemas.openxmlformats.org/spreadsheetml/2006/main" count="39" uniqueCount="34">
  <si>
    <t>Fecha</t>
  </si>
  <si>
    <t>Apertura</t>
  </si>
  <si>
    <t>Alto</t>
  </si>
  <si>
    <t>Bajo</t>
  </si>
  <si>
    <t>Cierre</t>
  </si>
  <si>
    <t>Delta T</t>
  </si>
  <si>
    <t>Mu</t>
  </si>
  <si>
    <t>Sigma</t>
  </si>
  <si>
    <t>Min</t>
  </si>
  <si>
    <t>Max</t>
  </si>
  <si>
    <t>n</t>
  </si>
  <si>
    <t>total</t>
  </si>
  <si>
    <t>Actual Freq</t>
  </si>
  <si>
    <t>Actual Freq Rela</t>
  </si>
  <si>
    <t>Calculated Freq</t>
  </si>
  <si>
    <t>Caclulated Freq Rela</t>
  </si>
  <si>
    <t>U</t>
  </si>
  <si>
    <t>Ranges ST</t>
  </si>
  <si>
    <t>ECM</t>
  </si>
  <si>
    <t>SSt</t>
  </si>
  <si>
    <t>Weiner W(t)</t>
  </si>
  <si>
    <t>EPAM</t>
  </si>
  <si>
    <t>Esperanza</t>
  </si>
  <si>
    <t>h</t>
  </si>
  <si>
    <t>log(Cierre) - log(Esperanza)^2</t>
  </si>
  <si>
    <t>t</t>
  </si>
  <si>
    <t>S</t>
  </si>
  <si>
    <t>Cierre Calculado</t>
  </si>
  <si>
    <t>abs((log(Cierre) - log(Esperanza) )/ log(Cierre) )</t>
  </si>
  <si>
    <t>I</t>
  </si>
  <si>
    <t>Bins</t>
  </si>
  <si>
    <t>Varianza</t>
  </si>
  <si>
    <t>E-1.96*V</t>
  </si>
  <si>
    <t>E+1.96*V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</si>
</sst>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[$$-409]* #,##0.00_);_([$$-409]* \(#,##0.00\);_([$$-409]* &quot;-&quot;??_);_(@_)"/>
    <numFmt numFmtId="165" formatCode="0.0000"/>
    <numFmt numFmtId="166" formatCode="0.000"/>
    <numFmt numFmtId="167" formatCode="0.00000000"/>
    <numFmt numFmtId="168" formatCode="0.00000000000"/>
    <numFmt numFmtId="169" formatCode="0.0000000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6" borderId="2" applyNumberFormat="0" applyAlignment="0" applyProtection="0"/>
  </cellStyleXfs>
  <cellXfs count="27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0" fillId="0" borderId="0" xfId="1" applyFont="1"/>
    <xf numFmtId="0" fontId="2" fillId="0" borderId="0" xfId="0" applyFont="1"/>
    <xf numFmtId="0" fontId="2" fillId="5" borderId="0" xfId="0" applyFont="1" applyFill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" fillId="5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" fontId="5" fillId="6" borderId="2" xfId="2" applyNumberFormat="1" applyFont="1" applyAlignment="1">
      <alignment horizontal="center" vertical="center"/>
    </xf>
    <xf numFmtId="165" fontId="5" fillId="6" borderId="2" xfId="2" applyNumberFormat="1" applyFont="1" applyAlignment="1">
      <alignment horizontal="center" vertical="center"/>
    </xf>
    <xf numFmtId="0" fontId="5" fillId="6" borderId="2" xfId="2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6" borderId="2" xfId="2" applyFont="1"/>
    <xf numFmtId="165" fontId="6" fillId="6" borderId="2" xfId="2" applyNumberFormat="1" applyFont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5" fillId="6" borderId="2" xfId="2" applyNumberFormat="1" applyFont="1" applyAlignment="1">
      <alignment horizontal="center" vertical="center"/>
    </xf>
  </cellXfs>
  <cellStyles count="3">
    <cellStyle name="Cálculo" xfId="2" builtinId="22"/>
    <cellStyle name="Normal" xfId="0" builtinId="0"/>
    <cellStyle name="Porcentaje" xfId="1" builtinId="5"/>
  </cellStyles>
  <dxfs count="2"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chartsheet" Target="chartsheets/sheet2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MME!$F$1</c:f>
              <c:strCache>
                <c:ptCount val="1"/>
                <c:pt idx="0">
                  <c:v>Cierre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MME!$B$2:$B$503</c:f>
              <c:numCache>
                <c:formatCode>m/d/yyyy</c:formatCode>
                <c:ptCount val="502"/>
                <c:pt idx="0">
                  <c:v>44707</c:v>
                </c:pt>
                <c:pt idx="1">
                  <c:v>44708</c:v>
                </c:pt>
                <c:pt idx="2">
                  <c:v>44712</c:v>
                </c:pt>
                <c:pt idx="3">
                  <c:v>44713</c:v>
                </c:pt>
                <c:pt idx="4">
                  <c:v>44714</c:v>
                </c:pt>
                <c:pt idx="5">
                  <c:v>44715</c:v>
                </c:pt>
                <c:pt idx="6">
                  <c:v>44718</c:v>
                </c:pt>
                <c:pt idx="7">
                  <c:v>44719</c:v>
                </c:pt>
                <c:pt idx="8">
                  <c:v>44720</c:v>
                </c:pt>
                <c:pt idx="9">
                  <c:v>44721</c:v>
                </c:pt>
                <c:pt idx="10">
                  <c:v>44722</c:v>
                </c:pt>
                <c:pt idx="11">
                  <c:v>44725</c:v>
                </c:pt>
                <c:pt idx="12">
                  <c:v>44726</c:v>
                </c:pt>
                <c:pt idx="13">
                  <c:v>44727</c:v>
                </c:pt>
                <c:pt idx="14">
                  <c:v>44728</c:v>
                </c:pt>
                <c:pt idx="15">
                  <c:v>44729</c:v>
                </c:pt>
                <c:pt idx="16">
                  <c:v>44733</c:v>
                </c:pt>
                <c:pt idx="17">
                  <c:v>44734</c:v>
                </c:pt>
                <c:pt idx="18">
                  <c:v>44735</c:v>
                </c:pt>
                <c:pt idx="19">
                  <c:v>44736</c:v>
                </c:pt>
                <c:pt idx="20">
                  <c:v>44739</c:v>
                </c:pt>
                <c:pt idx="21">
                  <c:v>44740</c:v>
                </c:pt>
                <c:pt idx="22">
                  <c:v>44741</c:v>
                </c:pt>
                <c:pt idx="23">
                  <c:v>44742</c:v>
                </c:pt>
                <c:pt idx="24">
                  <c:v>44743</c:v>
                </c:pt>
                <c:pt idx="25">
                  <c:v>44747</c:v>
                </c:pt>
                <c:pt idx="26">
                  <c:v>44748</c:v>
                </c:pt>
                <c:pt idx="27">
                  <c:v>44749</c:v>
                </c:pt>
                <c:pt idx="28">
                  <c:v>44750</c:v>
                </c:pt>
                <c:pt idx="29">
                  <c:v>44753</c:v>
                </c:pt>
                <c:pt idx="30">
                  <c:v>44754</c:v>
                </c:pt>
                <c:pt idx="31">
                  <c:v>44755</c:v>
                </c:pt>
                <c:pt idx="32">
                  <c:v>44756</c:v>
                </c:pt>
                <c:pt idx="33">
                  <c:v>44757</c:v>
                </c:pt>
                <c:pt idx="34">
                  <c:v>44760</c:v>
                </c:pt>
                <c:pt idx="35">
                  <c:v>44761</c:v>
                </c:pt>
                <c:pt idx="36">
                  <c:v>44762</c:v>
                </c:pt>
                <c:pt idx="37">
                  <c:v>44763</c:v>
                </c:pt>
                <c:pt idx="38">
                  <c:v>44764</c:v>
                </c:pt>
                <c:pt idx="39">
                  <c:v>44767</c:v>
                </c:pt>
                <c:pt idx="40">
                  <c:v>44768</c:v>
                </c:pt>
                <c:pt idx="41">
                  <c:v>44769</c:v>
                </c:pt>
                <c:pt idx="42">
                  <c:v>44770</c:v>
                </c:pt>
                <c:pt idx="43">
                  <c:v>44771</c:v>
                </c:pt>
                <c:pt idx="44">
                  <c:v>44774</c:v>
                </c:pt>
                <c:pt idx="45">
                  <c:v>44775</c:v>
                </c:pt>
                <c:pt idx="46">
                  <c:v>44776</c:v>
                </c:pt>
                <c:pt idx="47">
                  <c:v>44777</c:v>
                </c:pt>
                <c:pt idx="48">
                  <c:v>44778</c:v>
                </c:pt>
                <c:pt idx="49">
                  <c:v>44781</c:v>
                </c:pt>
                <c:pt idx="50">
                  <c:v>44782</c:v>
                </c:pt>
                <c:pt idx="51">
                  <c:v>44783</c:v>
                </c:pt>
                <c:pt idx="52">
                  <c:v>44784</c:v>
                </c:pt>
                <c:pt idx="53">
                  <c:v>44785</c:v>
                </c:pt>
                <c:pt idx="54">
                  <c:v>44788</c:v>
                </c:pt>
                <c:pt idx="55">
                  <c:v>44789</c:v>
                </c:pt>
                <c:pt idx="56">
                  <c:v>44790</c:v>
                </c:pt>
                <c:pt idx="57">
                  <c:v>44791</c:v>
                </c:pt>
                <c:pt idx="58">
                  <c:v>44792</c:v>
                </c:pt>
                <c:pt idx="59">
                  <c:v>44795</c:v>
                </c:pt>
                <c:pt idx="60">
                  <c:v>44796</c:v>
                </c:pt>
                <c:pt idx="61">
                  <c:v>44797</c:v>
                </c:pt>
                <c:pt idx="62">
                  <c:v>44798</c:v>
                </c:pt>
                <c:pt idx="63">
                  <c:v>44799</c:v>
                </c:pt>
                <c:pt idx="64">
                  <c:v>44802</c:v>
                </c:pt>
                <c:pt idx="65">
                  <c:v>44803</c:v>
                </c:pt>
                <c:pt idx="66">
                  <c:v>44804</c:v>
                </c:pt>
                <c:pt idx="67">
                  <c:v>44805</c:v>
                </c:pt>
                <c:pt idx="68">
                  <c:v>44806</c:v>
                </c:pt>
                <c:pt idx="69">
                  <c:v>44810</c:v>
                </c:pt>
                <c:pt idx="70">
                  <c:v>44811</c:v>
                </c:pt>
                <c:pt idx="71">
                  <c:v>44812</c:v>
                </c:pt>
                <c:pt idx="72">
                  <c:v>44813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44830</c:v>
                </c:pt>
                <c:pt idx="84">
                  <c:v>44831</c:v>
                </c:pt>
                <c:pt idx="85">
                  <c:v>44832</c:v>
                </c:pt>
                <c:pt idx="86">
                  <c:v>44833</c:v>
                </c:pt>
                <c:pt idx="87">
                  <c:v>44834</c:v>
                </c:pt>
                <c:pt idx="88">
                  <c:v>44837</c:v>
                </c:pt>
                <c:pt idx="89">
                  <c:v>44838</c:v>
                </c:pt>
                <c:pt idx="90">
                  <c:v>44839</c:v>
                </c:pt>
                <c:pt idx="91">
                  <c:v>44840</c:v>
                </c:pt>
                <c:pt idx="92">
                  <c:v>44841</c:v>
                </c:pt>
                <c:pt idx="93">
                  <c:v>44844</c:v>
                </c:pt>
                <c:pt idx="94">
                  <c:v>44845</c:v>
                </c:pt>
                <c:pt idx="95">
                  <c:v>44846</c:v>
                </c:pt>
                <c:pt idx="96">
                  <c:v>44847</c:v>
                </c:pt>
                <c:pt idx="97">
                  <c:v>44848</c:v>
                </c:pt>
                <c:pt idx="98">
                  <c:v>44851</c:v>
                </c:pt>
                <c:pt idx="99">
                  <c:v>44852</c:v>
                </c:pt>
                <c:pt idx="100">
                  <c:v>44853</c:v>
                </c:pt>
                <c:pt idx="101">
                  <c:v>44854</c:v>
                </c:pt>
                <c:pt idx="102">
                  <c:v>44855</c:v>
                </c:pt>
                <c:pt idx="103">
                  <c:v>44858</c:v>
                </c:pt>
                <c:pt idx="104">
                  <c:v>44859</c:v>
                </c:pt>
                <c:pt idx="105">
                  <c:v>44860</c:v>
                </c:pt>
                <c:pt idx="106">
                  <c:v>44861</c:v>
                </c:pt>
                <c:pt idx="107">
                  <c:v>44862</c:v>
                </c:pt>
                <c:pt idx="108">
                  <c:v>44865</c:v>
                </c:pt>
                <c:pt idx="109">
                  <c:v>44866</c:v>
                </c:pt>
                <c:pt idx="110">
                  <c:v>44867</c:v>
                </c:pt>
                <c:pt idx="111">
                  <c:v>44868</c:v>
                </c:pt>
                <c:pt idx="112">
                  <c:v>44869</c:v>
                </c:pt>
                <c:pt idx="113">
                  <c:v>44872</c:v>
                </c:pt>
                <c:pt idx="114">
                  <c:v>44873</c:v>
                </c:pt>
                <c:pt idx="115">
                  <c:v>44874</c:v>
                </c:pt>
                <c:pt idx="116">
                  <c:v>44875</c:v>
                </c:pt>
                <c:pt idx="117">
                  <c:v>44876</c:v>
                </c:pt>
                <c:pt idx="118">
                  <c:v>44879</c:v>
                </c:pt>
                <c:pt idx="119">
                  <c:v>44880</c:v>
                </c:pt>
                <c:pt idx="120">
                  <c:v>44881</c:v>
                </c:pt>
                <c:pt idx="121">
                  <c:v>44882</c:v>
                </c:pt>
                <c:pt idx="122">
                  <c:v>44883</c:v>
                </c:pt>
                <c:pt idx="123">
                  <c:v>44886</c:v>
                </c:pt>
                <c:pt idx="124">
                  <c:v>44887</c:v>
                </c:pt>
                <c:pt idx="125">
                  <c:v>44888</c:v>
                </c:pt>
                <c:pt idx="126">
                  <c:v>44890</c:v>
                </c:pt>
                <c:pt idx="127">
                  <c:v>44893</c:v>
                </c:pt>
                <c:pt idx="128">
                  <c:v>44894</c:v>
                </c:pt>
                <c:pt idx="129">
                  <c:v>44895</c:v>
                </c:pt>
                <c:pt idx="130">
                  <c:v>44896</c:v>
                </c:pt>
                <c:pt idx="131">
                  <c:v>44897</c:v>
                </c:pt>
                <c:pt idx="132">
                  <c:v>44900</c:v>
                </c:pt>
                <c:pt idx="133">
                  <c:v>44901</c:v>
                </c:pt>
                <c:pt idx="134">
                  <c:v>44902</c:v>
                </c:pt>
                <c:pt idx="135">
                  <c:v>44903</c:v>
                </c:pt>
                <c:pt idx="136">
                  <c:v>44904</c:v>
                </c:pt>
                <c:pt idx="137">
                  <c:v>44907</c:v>
                </c:pt>
                <c:pt idx="138">
                  <c:v>44908</c:v>
                </c:pt>
                <c:pt idx="139">
                  <c:v>44909</c:v>
                </c:pt>
                <c:pt idx="140">
                  <c:v>44910</c:v>
                </c:pt>
                <c:pt idx="141">
                  <c:v>44911</c:v>
                </c:pt>
                <c:pt idx="142">
                  <c:v>44914</c:v>
                </c:pt>
                <c:pt idx="143">
                  <c:v>44915</c:v>
                </c:pt>
                <c:pt idx="144">
                  <c:v>44916</c:v>
                </c:pt>
                <c:pt idx="145">
                  <c:v>44917</c:v>
                </c:pt>
                <c:pt idx="146">
                  <c:v>44918</c:v>
                </c:pt>
                <c:pt idx="147">
                  <c:v>44922</c:v>
                </c:pt>
                <c:pt idx="148">
                  <c:v>44923</c:v>
                </c:pt>
                <c:pt idx="149">
                  <c:v>44924</c:v>
                </c:pt>
                <c:pt idx="150">
                  <c:v>44925</c:v>
                </c:pt>
                <c:pt idx="151">
                  <c:v>44929</c:v>
                </c:pt>
                <c:pt idx="152">
                  <c:v>44930</c:v>
                </c:pt>
                <c:pt idx="153">
                  <c:v>44931</c:v>
                </c:pt>
                <c:pt idx="154">
                  <c:v>44932</c:v>
                </c:pt>
                <c:pt idx="155">
                  <c:v>44935</c:v>
                </c:pt>
                <c:pt idx="156">
                  <c:v>44936</c:v>
                </c:pt>
                <c:pt idx="157">
                  <c:v>44937</c:v>
                </c:pt>
                <c:pt idx="158">
                  <c:v>44938</c:v>
                </c:pt>
                <c:pt idx="159">
                  <c:v>44939</c:v>
                </c:pt>
                <c:pt idx="160">
                  <c:v>44943</c:v>
                </c:pt>
                <c:pt idx="161">
                  <c:v>44944</c:v>
                </c:pt>
                <c:pt idx="162">
                  <c:v>44945</c:v>
                </c:pt>
                <c:pt idx="163">
                  <c:v>44946</c:v>
                </c:pt>
                <c:pt idx="164">
                  <c:v>44949</c:v>
                </c:pt>
                <c:pt idx="165">
                  <c:v>44950</c:v>
                </c:pt>
                <c:pt idx="166">
                  <c:v>44951</c:v>
                </c:pt>
                <c:pt idx="167">
                  <c:v>44952</c:v>
                </c:pt>
                <c:pt idx="168">
                  <c:v>44953</c:v>
                </c:pt>
                <c:pt idx="169">
                  <c:v>44956</c:v>
                </c:pt>
                <c:pt idx="170">
                  <c:v>44957</c:v>
                </c:pt>
                <c:pt idx="171">
                  <c:v>44958</c:v>
                </c:pt>
                <c:pt idx="172">
                  <c:v>44959</c:v>
                </c:pt>
                <c:pt idx="173">
                  <c:v>44960</c:v>
                </c:pt>
                <c:pt idx="174">
                  <c:v>44963</c:v>
                </c:pt>
                <c:pt idx="175">
                  <c:v>44964</c:v>
                </c:pt>
                <c:pt idx="176">
                  <c:v>44965</c:v>
                </c:pt>
                <c:pt idx="177">
                  <c:v>44966</c:v>
                </c:pt>
                <c:pt idx="178">
                  <c:v>44967</c:v>
                </c:pt>
                <c:pt idx="179">
                  <c:v>44970</c:v>
                </c:pt>
                <c:pt idx="180">
                  <c:v>44971</c:v>
                </c:pt>
                <c:pt idx="181">
                  <c:v>44972</c:v>
                </c:pt>
                <c:pt idx="182">
                  <c:v>44973</c:v>
                </c:pt>
                <c:pt idx="183">
                  <c:v>44974</c:v>
                </c:pt>
                <c:pt idx="184">
                  <c:v>44978</c:v>
                </c:pt>
                <c:pt idx="185">
                  <c:v>44979</c:v>
                </c:pt>
                <c:pt idx="186">
                  <c:v>44980</c:v>
                </c:pt>
                <c:pt idx="187">
                  <c:v>44981</c:v>
                </c:pt>
                <c:pt idx="188">
                  <c:v>44984</c:v>
                </c:pt>
                <c:pt idx="189">
                  <c:v>44985</c:v>
                </c:pt>
                <c:pt idx="190">
                  <c:v>44986</c:v>
                </c:pt>
                <c:pt idx="191">
                  <c:v>44987</c:v>
                </c:pt>
                <c:pt idx="192">
                  <c:v>44988</c:v>
                </c:pt>
                <c:pt idx="193">
                  <c:v>44991</c:v>
                </c:pt>
                <c:pt idx="194">
                  <c:v>44992</c:v>
                </c:pt>
                <c:pt idx="195">
                  <c:v>44993</c:v>
                </c:pt>
                <c:pt idx="196">
                  <c:v>44994</c:v>
                </c:pt>
                <c:pt idx="197">
                  <c:v>44995</c:v>
                </c:pt>
                <c:pt idx="198">
                  <c:v>44998</c:v>
                </c:pt>
                <c:pt idx="199">
                  <c:v>44999</c:v>
                </c:pt>
                <c:pt idx="200">
                  <c:v>45000</c:v>
                </c:pt>
                <c:pt idx="201">
                  <c:v>45001</c:v>
                </c:pt>
                <c:pt idx="202">
                  <c:v>45002</c:v>
                </c:pt>
                <c:pt idx="203">
                  <c:v>45005</c:v>
                </c:pt>
                <c:pt idx="204">
                  <c:v>45006</c:v>
                </c:pt>
                <c:pt idx="205">
                  <c:v>45007</c:v>
                </c:pt>
                <c:pt idx="206">
                  <c:v>45008</c:v>
                </c:pt>
                <c:pt idx="207">
                  <c:v>45009</c:v>
                </c:pt>
                <c:pt idx="208">
                  <c:v>45012</c:v>
                </c:pt>
                <c:pt idx="209">
                  <c:v>45013</c:v>
                </c:pt>
                <c:pt idx="210">
                  <c:v>45014</c:v>
                </c:pt>
                <c:pt idx="211">
                  <c:v>45015</c:v>
                </c:pt>
                <c:pt idx="212">
                  <c:v>45016</c:v>
                </c:pt>
                <c:pt idx="213">
                  <c:v>45019</c:v>
                </c:pt>
                <c:pt idx="214">
                  <c:v>45020</c:v>
                </c:pt>
                <c:pt idx="215">
                  <c:v>45021</c:v>
                </c:pt>
                <c:pt idx="216">
                  <c:v>45022</c:v>
                </c:pt>
                <c:pt idx="217">
                  <c:v>45026</c:v>
                </c:pt>
                <c:pt idx="218">
                  <c:v>45027</c:v>
                </c:pt>
                <c:pt idx="219">
                  <c:v>45028</c:v>
                </c:pt>
                <c:pt idx="220">
                  <c:v>45029</c:v>
                </c:pt>
                <c:pt idx="221">
                  <c:v>45030</c:v>
                </c:pt>
                <c:pt idx="222">
                  <c:v>45033</c:v>
                </c:pt>
                <c:pt idx="223">
                  <c:v>45034</c:v>
                </c:pt>
                <c:pt idx="224">
                  <c:v>45035</c:v>
                </c:pt>
                <c:pt idx="225">
                  <c:v>45036</c:v>
                </c:pt>
                <c:pt idx="226">
                  <c:v>45037</c:v>
                </c:pt>
                <c:pt idx="227">
                  <c:v>45040</c:v>
                </c:pt>
                <c:pt idx="228">
                  <c:v>45041</c:v>
                </c:pt>
                <c:pt idx="229">
                  <c:v>45042</c:v>
                </c:pt>
                <c:pt idx="230">
                  <c:v>45043</c:v>
                </c:pt>
                <c:pt idx="231">
                  <c:v>45044</c:v>
                </c:pt>
                <c:pt idx="232">
                  <c:v>45047</c:v>
                </c:pt>
                <c:pt idx="233">
                  <c:v>45048</c:v>
                </c:pt>
                <c:pt idx="234">
                  <c:v>45049</c:v>
                </c:pt>
                <c:pt idx="235">
                  <c:v>45050</c:v>
                </c:pt>
                <c:pt idx="236">
                  <c:v>45051</c:v>
                </c:pt>
                <c:pt idx="237">
                  <c:v>45054</c:v>
                </c:pt>
                <c:pt idx="238">
                  <c:v>45055</c:v>
                </c:pt>
                <c:pt idx="239">
                  <c:v>45056</c:v>
                </c:pt>
                <c:pt idx="240">
                  <c:v>45057</c:v>
                </c:pt>
                <c:pt idx="241">
                  <c:v>45058</c:v>
                </c:pt>
                <c:pt idx="242">
                  <c:v>45061</c:v>
                </c:pt>
                <c:pt idx="243">
                  <c:v>45062</c:v>
                </c:pt>
                <c:pt idx="244">
                  <c:v>45063</c:v>
                </c:pt>
                <c:pt idx="245">
                  <c:v>45064</c:v>
                </c:pt>
                <c:pt idx="246">
                  <c:v>45065</c:v>
                </c:pt>
                <c:pt idx="247">
                  <c:v>45068</c:v>
                </c:pt>
                <c:pt idx="248">
                  <c:v>45069</c:v>
                </c:pt>
                <c:pt idx="249">
                  <c:v>45070</c:v>
                </c:pt>
                <c:pt idx="250">
                  <c:v>45071</c:v>
                </c:pt>
                <c:pt idx="251">
                  <c:v>45072</c:v>
                </c:pt>
                <c:pt idx="252">
                  <c:v>45076</c:v>
                </c:pt>
                <c:pt idx="253">
                  <c:v>45077</c:v>
                </c:pt>
                <c:pt idx="254">
                  <c:v>45078</c:v>
                </c:pt>
                <c:pt idx="255">
                  <c:v>45079</c:v>
                </c:pt>
                <c:pt idx="256">
                  <c:v>45082</c:v>
                </c:pt>
                <c:pt idx="257">
                  <c:v>45083</c:v>
                </c:pt>
                <c:pt idx="258">
                  <c:v>45084</c:v>
                </c:pt>
                <c:pt idx="259">
                  <c:v>45085</c:v>
                </c:pt>
                <c:pt idx="260">
                  <c:v>45086</c:v>
                </c:pt>
                <c:pt idx="261">
                  <c:v>45089</c:v>
                </c:pt>
                <c:pt idx="262">
                  <c:v>45090</c:v>
                </c:pt>
                <c:pt idx="263">
                  <c:v>45091</c:v>
                </c:pt>
                <c:pt idx="264">
                  <c:v>45092</c:v>
                </c:pt>
                <c:pt idx="265">
                  <c:v>45093</c:v>
                </c:pt>
                <c:pt idx="266">
                  <c:v>45097</c:v>
                </c:pt>
                <c:pt idx="267">
                  <c:v>45098</c:v>
                </c:pt>
                <c:pt idx="268">
                  <c:v>45099</c:v>
                </c:pt>
                <c:pt idx="269">
                  <c:v>45100</c:v>
                </c:pt>
                <c:pt idx="270">
                  <c:v>45103</c:v>
                </c:pt>
                <c:pt idx="271">
                  <c:v>45104</c:v>
                </c:pt>
                <c:pt idx="272">
                  <c:v>45105</c:v>
                </c:pt>
                <c:pt idx="273">
                  <c:v>45106</c:v>
                </c:pt>
                <c:pt idx="274">
                  <c:v>45107</c:v>
                </c:pt>
                <c:pt idx="275">
                  <c:v>45110</c:v>
                </c:pt>
                <c:pt idx="276">
                  <c:v>45112</c:v>
                </c:pt>
                <c:pt idx="277">
                  <c:v>45113</c:v>
                </c:pt>
                <c:pt idx="278">
                  <c:v>45114</c:v>
                </c:pt>
                <c:pt idx="279">
                  <c:v>45117</c:v>
                </c:pt>
                <c:pt idx="280">
                  <c:v>45118</c:v>
                </c:pt>
                <c:pt idx="281">
                  <c:v>45119</c:v>
                </c:pt>
                <c:pt idx="282">
                  <c:v>45120</c:v>
                </c:pt>
                <c:pt idx="283">
                  <c:v>45121</c:v>
                </c:pt>
                <c:pt idx="284">
                  <c:v>45124</c:v>
                </c:pt>
                <c:pt idx="285">
                  <c:v>45125</c:v>
                </c:pt>
                <c:pt idx="286">
                  <c:v>45126</c:v>
                </c:pt>
                <c:pt idx="287">
                  <c:v>45127</c:v>
                </c:pt>
                <c:pt idx="288">
                  <c:v>45128</c:v>
                </c:pt>
                <c:pt idx="289">
                  <c:v>45131</c:v>
                </c:pt>
                <c:pt idx="290">
                  <c:v>45132</c:v>
                </c:pt>
                <c:pt idx="291">
                  <c:v>45133</c:v>
                </c:pt>
                <c:pt idx="292">
                  <c:v>45134</c:v>
                </c:pt>
                <c:pt idx="293">
                  <c:v>45135</c:v>
                </c:pt>
                <c:pt idx="294">
                  <c:v>45138</c:v>
                </c:pt>
                <c:pt idx="295">
                  <c:v>45139</c:v>
                </c:pt>
                <c:pt idx="296">
                  <c:v>45140</c:v>
                </c:pt>
                <c:pt idx="297">
                  <c:v>45141</c:v>
                </c:pt>
                <c:pt idx="298">
                  <c:v>45142</c:v>
                </c:pt>
                <c:pt idx="299">
                  <c:v>45145</c:v>
                </c:pt>
                <c:pt idx="300">
                  <c:v>45146</c:v>
                </c:pt>
                <c:pt idx="301">
                  <c:v>45147</c:v>
                </c:pt>
                <c:pt idx="302">
                  <c:v>45148</c:v>
                </c:pt>
                <c:pt idx="303">
                  <c:v>45149</c:v>
                </c:pt>
                <c:pt idx="304">
                  <c:v>45152</c:v>
                </c:pt>
                <c:pt idx="305">
                  <c:v>45153</c:v>
                </c:pt>
                <c:pt idx="306">
                  <c:v>45154</c:v>
                </c:pt>
                <c:pt idx="307">
                  <c:v>45155</c:v>
                </c:pt>
                <c:pt idx="308">
                  <c:v>45156</c:v>
                </c:pt>
                <c:pt idx="309">
                  <c:v>45159</c:v>
                </c:pt>
                <c:pt idx="310">
                  <c:v>45160</c:v>
                </c:pt>
                <c:pt idx="311">
                  <c:v>45161</c:v>
                </c:pt>
                <c:pt idx="312">
                  <c:v>45162</c:v>
                </c:pt>
                <c:pt idx="313">
                  <c:v>45163</c:v>
                </c:pt>
                <c:pt idx="314">
                  <c:v>45166</c:v>
                </c:pt>
                <c:pt idx="315">
                  <c:v>45167</c:v>
                </c:pt>
                <c:pt idx="316">
                  <c:v>45168</c:v>
                </c:pt>
                <c:pt idx="317">
                  <c:v>45169</c:v>
                </c:pt>
                <c:pt idx="318">
                  <c:v>45170</c:v>
                </c:pt>
                <c:pt idx="319">
                  <c:v>45174</c:v>
                </c:pt>
                <c:pt idx="320">
                  <c:v>45175</c:v>
                </c:pt>
                <c:pt idx="321">
                  <c:v>45176</c:v>
                </c:pt>
                <c:pt idx="322">
                  <c:v>45177</c:v>
                </c:pt>
                <c:pt idx="323">
                  <c:v>45180</c:v>
                </c:pt>
                <c:pt idx="324">
                  <c:v>45181</c:v>
                </c:pt>
                <c:pt idx="325">
                  <c:v>45182</c:v>
                </c:pt>
                <c:pt idx="326">
                  <c:v>45183</c:v>
                </c:pt>
                <c:pt idx="327">
                  <c:v>45184</c:v>
                </c:pt>
                <c:pt idx="328">
                  <c:v>45187</c:v>
                </c:pt>
                <c:pt idx="329">
                  <c:v>45188</c:v>
                </c:pt>
                <c:pt idx="330">
                  <c:v>45189</c:v>
                </c:pt>
                <c:pt idx="331">
                  <c:v>45190</c:v>
                </c:pt>
                <c:pt idx="332">
                  <c:v>45191</c:v>
                </c:pt>
                <c:pt idx="333">
                  <c:v>45194</c:v>
                </c:pt>
                <c:pt idx="334">
                  <c:v>45195</c:v>
                </c:pt>
                <c:pt idx="335">
                  <c:v>45196</c:v>
                </c:pt>
                <c:pt idx="336">
                  <c:v>45197</c:v>
                </c:pt>
                <c:pt idx="337">
                  <c:v>45198</c:v>
                </c:pt>
                <c:pt idx="338">
                  <c:v>45201</c:v>
                </c:pt>
                <c:pt idx="339">
                  <c:v>45202</c:v>
                </c:pt>
                <c:pt idx="340">
                  <c:v>45203</c:v>
                </c:pt>
                <c:pt idx="341">
                  <c:v>45204</c:v>
                </c:pt>
                <c:pt idx="342">
                  <c:v>45205</c:v>
                </c:pt>
                <c:pt idx="343">
                  <c:v>45208</c:v>
                </c:pt>
                <c:pt idx="344">
                  <c:v>45209</c:v>
                </c:pt>
                <c:pt idx="345">
                  <c:v>45210</c:v>
                </c:pt>
                <c:pt idx="346">
                  <c:v>45211</c:v>
                </c:pt>
                <c:pt idx="347">
                  <c:v>45212</c:v>
                </c:pt>
                <c:pt idx="348">
                  <c:v>45215</c:v>
                </c:pt>
                <c:pt idx="349">
                  <c:v>45216</c:v>
                </c:pt>
                <c:pt idx="350">
                  <c:v>45217</c:v>
                </c:pt>
                <c:pt idx="351">
                  <c:v>45218</c:v>
                </c:pt>
                <c:pt idx="352">
                  <c:v>45219</c:v>
                </c:pt>
                <c:pt idx="353">
                  <c:v>45222</c:v>
                </c:pt>
                <c:pt idx="354">
                  <c:v>45223</c:v>
                </c:pt>
                <c:pt idx="355">
                  <c:v>45224</c:v>
                </c:pt>
                <c:pt idx="356">
                  <c:v>45225</c:v>
                </c:pt>
                <c:pt idx="357">
                  <c:v>45226</c:v>
                </c:pt>
                <c:pt idx="358">
                  <c:v>45229</c:v>
                </c:pt>
                <c:pt idx="359">
                  <c:v>45230</c:v>
                </c:pt>
                <c:pt idx="360">
                  <c:v>45231</c:v>
                </c:pt>
                <c:pt idx="361">
                  <c:v>45232</c:v>
                </c:pt>
                <c:pt idx="362">
                  <c:v>45233</c:v>
                </c:pt>
                <c:pt idx="363">
                  <c:v>45236</c:v>
                </c:pt>
                <c:pt idx="364">
                  <c:v>45237</c:v>
                </c:pt>
                <c:pt idx="365">
                  <c:v>45238</c:v>
                </c:pt>
                <c:pt idx="366">
                  <c:v>45239</c:v>
                </c:pt>
                <c:pt idx="367">
                  <c:v>45240</c:v>
                </c:pt>
                <c:pt idx="368">
                  <c:v>45243</c:v>
                </c:pt>
                <c:pt idx="369">
                  <c:v>45244</c:v>
                </c:pt>
                <c:pt idx="370">
                  <c:v>45245</c:v>
                </c:pt>
                <c:pt idx="371">
                  <c:v>45246</c:v>
                </c:pt>
                <c:pt idx="372">
                  <c:v>45247</c:v>
                </c:pt>
                <c:pt idx="373">
                  <c:v>45250</c:v>
                </c:pt>
                <c:pt idx="374">
                  <c:v>45251</c:v>
                </c:pt>
                <c:pt idx="375">
                  <c:v>45252</c:v>
                </c:pt>
                <c:pt idx="376">
                  <c:v>45254</c:v>
                </c:pt>
                <c:pt idx="377">
                  <c:v>45257</c:v>
                </c:pt>
                <c:pt idx="378">
                  <c:v>45258</c:v>
                </c:pt>
                <c:pt idx="379">
                  <c:v>45259</c:v>
                </c:pt>
                <c:pt idx="380">
                  <c:v>45260</c:v>
                </c:pt>
                <c:pt idx="381">
                  <c:v>45261</c:v>
                </c:pt>
                <c:pt idx="382">
                  <c:v>45264</c:v>
                </c:pt>
                <c:pt idx="383">
                  <c:v>45265</c:v>
                </c:pt>
                <c:pt idx="384">
                  <c:v>45266</c:v>
                </c:pt>
                <c:pt idx="385">
                  <c:v>45267</c:v>
                </c:pt>
                <c:pt idx="386">
                  <c:v>45268</c:v>
                </c:pt>
                <c:pt idx="387">
                  <c:v>45271</c:v>
                </c:pt>
                <c:pt idx="388">
                  <c:v>45272</c:v>
                </c:pt>
                <c:pt idx="389">
                  <c:v>45273</c:v>
                </c:pt>
                <c:pt idx="390">
                  <c:v>45274</c:v>
                </c:pt>
                <c:pt idx="391">
                  <c:v>45275</c:v>
                </c:pt>
                <c:pt idx="392">
                  <c:v>45278</c:v>
                </c:pt>
                <c:pt idx="393">
                  <c:v>45279</c:v>
                </c:pt>
                <c:pt idx="394">
                  <c:v>45280</c:v>
                </c:pt>
                <c:pt idx="395">
                  <c:v>45281</c:v>
                </c:pt>
                <c:pt idx="396">
                  <c:v>45282</c:v>
                </c:pt>
                <c:pt idx="397">
                  <c:v>45286</c:v>
                </c:pt>
                <c:pt idx="398">
                  <c:v>45287</c:v>
                </c:pt>
                <c:pt idx="399">
                  <c:v>45288</c:v>
                </c:pt>
                <c:pt idx="400">
                  <c:v>45289</c:v>
                </c:pt>
                <c:pt idx="401">
                  <c:v>45293</c:v>
                </c:pt>
                <c:pt idx="402">
                  <c:v>45294</c:v>
                </c:pt>
                <c:pt idx="403">
                  <c:v>45295</c:v>
                </c:pt>
                <c:pt idx="404">
                  <c:v>45296</c:v>
                </c:pt>
                <c:pt idx="405">
                  <c:v>45299</c:v>
                </c:pt>
                <c:pt idx="406">
                  <c:v>45300</c:v>
                </c:pt>
                <c:pt idx="407">
                  <c:v>45301</c:v>
                </c:pt>
                <c:pt idx="408">
                  <c:v>45302</c:v>
                </c:pt>
                <c:pt idx="409">
                  <c:v>45303</c:v>
                </c:pt>
                <c:pt idx="410">
                  <c:v>45307</c:v>
                </c:pt>
                <c:pt idx="411">
                  <c:v>45308</c:v>
                </c:pt>
                <c:pt idx="412">
                  <c:v>45309</c:v>
                </c:pt>
                <c:pt idx="413">
                  <c:v>45310</c:v>
                </c:pt>
                <c:pt idx="414">
                  <c:v>45313</c:v>
                </c:pt>
                <c:pt idx="415">
                  <c:v>45314</c:v>
                </c:pt>
                <c:pt idx="416">
                  <c:v>45315</c:v>
                </c:pt>
                <c:pt idx="417">
                  <c:v>45316</c:v>
                </c:pt>
                <c:pt idx="418">
                  <c:v>45317</c:v>
                </c:pt>
                <c:pt idx="419">
                  <c:v>45320</c:v>
                </c:pt>
                <c:pt idx="420">
                  <c:v>45321</c:v>
                </c:pt>
                <c:pt idx="421">
                  <c:v>45322</c:v>
                </c:pt>
                <c:pt idx="422">
                  <c:v>45323</c:v>
                </c:pt>
                <c:pt idx="423">
                  <c:v>45324</c:v>
                </c:pt>
                <c:pt idx="424">
                  <c:v>45327</c:v>
                </c:pt>
                <c:pt idx="425">
                  <c:v>45328</c:v>
                </c:pt>
                <c:pt idx="426">
                  <c:v>45329</c:v>
                </c:pt>
                <c:pt idx="427">
                  <c:v>45330</c:v>
                </c:pt>
                <c:pt idx="428">
                  <c:v>45331</c:v>
                </c:pt>
                <c:pt idx="429">
                  <c:v>45334</c:v>
                </c:pt>
                <c:pt idx="430">
                  <c:v>45335</c:v>
                </c:pt>
                <c:pt idx="431">
                  <c:v>45336</c:v>
                </c:pt>
                <c:pt idx="432">
                  <c:v>45337</c:v>
                </c:pt>
                <c:pt idx="433">
                  <c:v>45338</c:v>
                </c:pt>
                <c:pt idx="434">
                  <c:v>45342</c:v>
                </c:pt>
                <c:pt idx="435">
                  <c:v>45343</c:v>
                </c:pt>
                <c:pt idx="436">
                  <c:v>45344</c:v>
                </c:pt>
                <c:pt idx="437">
                  <c:v>45345</c:v>
                </c:pt>
                <c:pt idx="438">
                  <c:v>45348</c:v>
                </c:pt>
                <c:pt idx="439">
                  <c:v>45349</c:v>
                </c:pt>
                <c:pt idx="440">
                  <c:v>45350</c:v>
                </c:pt>
                <c:pt idx="441">
                  <c:v>45351</c:v>
                </c:pt>
                <c:pt idx="442">
                  <c:v>45352</c:v>
                </c:pt>
                <c:pt idx="443">
                  <c:v>45355</c:v>
                </c:pt>
                <c:pt idx="444">
                  <c:v>45356</c:v>
                </c:pt>
                <c:pt idx="445">
                  <c:v>45357</c:v>
                </c:pt>
                <c:pt idx="446">
                  <c:v>45358</c:v>
                </c:pt>
                <c:pt idx="447">
                  <c:v>45359</c:v>
                </c:pt>
                <c:pt idx="448">
                  <c:v>45362</c:v>
                </c:pt>
                <c:pt idx="449">
                  <c:v>45363</c:v>
                </c:pt>
                <c:pt idx="450">
                  <c:v>45364</c:v>
                </c:pt>
                <c:pt idx="451">
                  <c:v>45365</c:v>
                </c:pt>
                <c:pt idx="452">
                  <c:v>45366</c:v>
                </c:pt>
                <c:pt idx="453">
                  <c:v>45369</c:v>
                </c:pt>
                <c:pt idx="454">
                  <c:v>45370</c:v>
                </c:pt>
                <c:pt idx="455">
                  <c:v>45371</c:v>
                </c:pt>
                <c:pt idx="456">
                  <c:v>45372</c:v>
                </c:pt>
                <c:pt idx="457">
                  <c:v>45373</c:v>
                </c:pt>
                <c:pt idx="458">
                  <c:v>45376</c:v>
                </c:pt>
                <c:pt idx="459">
                  <c:v>45377</c:v>
                </c:pt>
                <c:pt idx="460">
                  <c:v>45378</c:v>
                </c:pt>
                <c:pt idx="461">
                  <c:v>45379</c:v>
                </c:pt>
                <c:pt idx="462">
                  <c:v>45383</c:v>
                </c:pt>
                <c:pt idx="463">
                  <c:v>45384</c:v>
                </c:pt>
                <c:pt idx="464">
                  <c:v>45385</c:v>
                </c:pt>
                <c:pt idx="465">
                  <c:v>45386</c:v>
                </c:pt>
                <c:pt idx="466">
                  <c:v>45387</c:v>
                </c:pt>
                <c:pt idx="467">
                  <c:v>45390</c:v>
                </c:pt>
                <c:pt idx="468">
                  <c:v>45391</c:v>
                </c:pt>
                <c:pt idx="469">
                  <c:v>45392</c:v>
                </c:pt>
                <c:pt idx="470">
                  <c:v>45393</c:v>
                </c:pt>
                <c:pt idx="471">
                  <c:v>45394</c:v>
                </c:pt>
                <c:pt idx="472">
                  <c:v>45397</c:v>
                </c:pt>
                <c:pt idx="473">
                  <c:v>45398</c:v>
                </c:pt>
                <c:pt idx="474">
                  <c:v>45399</c:v>
                </c:pt>
                <c:pt idx="475">
                  <c:v>45400</c:v>
                </c:pt>
                <c:pt idx="476">
                  <c:v>45401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45411</c:v>
                </c:pt>
                <c:pt idx="483">
                  <c:v>45412</c:v>
                </c:pt>
                <c:pt idx="484">
                  <c:v>45413</c:v>
                </c:pt>
                <c:pt idx="485">
                  <c:v>45414</c:v>
                </c:pt>
                <c:pt idx="486">
                  <c:v>45415</c:v>
                </c:pt>
                <c:pt idx="487">
                  <c:v>45418</c:v>
                </c:pt>
                <c:pt idx="488">
                  <c:v>45419</c:v>
                </c:pt>
                <c:pt idx="489">
                  <c:v>45420</c:v>
                </c:pt>
                <c:pt idx="490">
                  <c:v>45421</c:v>
                </c:pt>
                <c:pt idx="491">
                  <c:v>45422</c:v>
                </c:pt>
                <c:pt idx="492">
                  <c:v>45425</c:v>
                </c:pt>
                <c:pt idx="493">
                  <c:v>45426</c:v>
                </c:pt>
                <c:pt idx="494">
                  <c:v>45427</c:v>
                </c:pt>
                <c:pt idx="495">
                  <c:v>45428</c:v>
                </c:pt>
                <c:pt idx="496">
                  <c:v>45429</c:v>
                </c:pt>
                <c:pt idx="497">
                  <c:v>45432</c:v>
                </c:pt>
                <c:pt idx="498">
                  <c:v>45433</c:v>
                </c:pt>
                <c:pt idx="499">
                  <c:v>45434</c:v>
                </c:pt>
                <c:pt idx="500">
                  <c:v>45435</c:v>
                </c:pt>
                <c:pt idx="501">
                  <c:v>45436</c:v>
                </c:pt>
              </c:numCache>
            </c:numRef>
          </c:xVal>
          <c:yVal>
            <c:numRef>
              <c:f>MME!$F$2:$F$503</c:f>
              <c:numCache>
                <c:formatCode>General</c:formatCode>
                <c:ptCount val="502"/>
                <c:pt idx="0">
                  <c:v>117.4</c:v>
                </c:pt>
                <c:pt idx="1">
                  <c:v>119.43</c:v>
                </c:pt>
                <c:pt idx="2">
                  <c:v>122.84</c:v>
                </c:pt>
                <c:pt idx="3">
                  <c:v>116.29</c:v>
                </c:pt>
                <c:pt idx="4">
                  <c:v>117.61</c:v>
                </c:pt>
                <c:pt idx="5">
                  <c:v>119.72</c:v>
                </c:pt>
                <c:pt idx="6">
                  <c:v>119.51</c:v>
                </c:pt>
                <c:pt idx="7">
                  <c:v>120.57</c:v>
                </c:pt>
                <c:pt idx="8">
                  <c:v>123.58</c:v>
                </c:pt>
                <c:pt idx="9">
                  <c:v>123.07</c:v>
                </c:pt>
                <c:pt idx="10">
                  <c:v>122.01</c:v>
                </c:pt>
                <c:pt idx="11">
                  <c:v>122.27</c:v>
                </c:pt>
                <c:pt idx="12">
                  <c:v>121.17</c:v>
                </c:pt>
                <c:pt idx="13">
                  <c:v>118.51</c:v>
                </c:pt>
                <c:pt idx="14">
                  <c:v>119.81</c:v>
                </c:pt>
                <c:pt idx="15">
                  <c:v>113.12</c:v>
                </c:pt>
                <c:pt idx="16">
                  <c:v>114.65</c:v>
                </c:pt>
                <c:pt idx="17">
                  <c:v>111.74</c:v>
                </c:pt>
                <c:pt idx="18">
                  <c:v>110.05</c:v>
                </c:pt>
                <c:pt idx="19">
                  <c:v>113.12</c:v>
                </c:pt>
                <c:pt idx="20">
                  <c:v>115.09</c:v>
                </c:pt>
                <c:pt idx="21">
                  <c:v>117.98</c:v>
                </c:pt>
                <c:pt idx="22">
                  <c:v>116.26</c:v>
                </c:pt>
                <c:pt idx="23">
                  <c:v>114.81</c:v>
                </c:pt>
                <c:pt idx="24">
                  <c:v>111.63</c:v>
                </c:pt>
                <c:pt idx="25">
                  <c:v>102.77</c:v>
                </c:pt>
                <c:pt idx="26">
                  <c:v>100.69</c:v>
                </c:pt>
                <c:pt idx="27">
                  <c:v>104.65</c:v>
                </c:pt>
                <c:pt idx="28">
                  <c:v>107.02</c:v>
                </c:pt>
                <c:pt idx="29">
                  <c:v>107.1</c:v>
                </c:pt>
                <c:pt idx="30">
                  <c:v>99.49</c:v>
                </c:pt>
                <c:pt idx="31">
                  <c:v>99.57</c:v>
                </c:pt>
                <c:pt idx="32">
                  <c:v>99.1</c:v>
                </c:pt>
                <c:pt idx="33">
                  <c:v>101.16</c:v>
                </c:pt>
                <c:pt idx="34">
                  <c:v>106.27</c:v>
                </c:pt>
                <c:pt idx="35">
                  <c:v>107.35</c:v>
                </c:pt>
                <c:pt idx="36">
                  <c:v>106.92</c:v>
                </c:pt>
                <c:pt idx="37">
                  <c:v>103.86</c:v>
                </c:pt>
                <c:pt idx="38">
                  <c:v>103.2</c:v>
                </c:pt>
                <c:pt idx="39">
                  <c:v>105.15</c:v>
                </c:pt>
                <c:pt idx="40">
                  <c:v>104.4</c:v>
                </c:pt>
                <c:pt idx="41">
                  <c:v>106.62</c:v>
                </c:pt>
                <c:pt idx="42">
                  <c:v>107.14</c:v>
                </c:pt>
                <c:pt idx="43">
                  <c:v>110.01</c:v>
                </c:pt>
                <c:pt idx="44">
                  <c:v>100.03</c:v>
                </c:pt>
                <c:pt idx="45">
                  <c:v>100.54</c:v>
                </c:pt>
                <c:pt idx="46">
                  <c:v>96.78</c:v>
                </c:pt>
                <c:pt idx="47">
                  <c:v>94.12</c:v>
                </c:pt>
                <c:pt idx="48">
                  <c:v>94.92</c:v>
                </c:pt>
                <c:pt idx="49">
                  <c:v>96.65</c:v>
                </c:pt>
                <c:pt idx="50">
                  <c:v>96.31</c:v>
                </c:pt>
                <c:pt idx="51">
                  <c:v>97.4</c:v>
                </c:pt>
                <c:pt idx="52">
                  <c:v>99.6</c:v>
                </c:pt>
                <c:pt idx="53">
                  <c:v>98.15</c:v>
                </c:pt>
                <c:pt idx="54">
                  <c:v>95.1</c:v>
                </c:pt>
                <c:pt idx="55">
                  <c:v>92.34</c:v>
                </c:pt>
                <c:pt idx="56">
                  <c:v>93.65</c:v>
                </c:pt>
                <c:pt idx="57">
                  <c:v>96.59</c:v>
                </c:pt>
                <c:pt idx="58">
                  <c:v>96.72</c:v>
                </c:pt>
                <c:pt idx="59">
                  <c:v>96.48</c:v>
                </c:pt>
                <c:pt idx="60">
                  <c:v>100.22</c:v>
                </c:pt>
                <c:pt idx="61">
                  <c:v>101.22</c:v>
                </c:pt>
                <c:pt idx="62">
                  <c:v>99.34</c:v>
                </c:pt>
                <c:pt idx="63">
                  <c:v>100.99</c:v>
                </c:pt>
                <c:pt idx="64">
                  <c:v>105.09</c:v>
                </c:pt>
                <c:pt idx="65">
                  <c:v>99.31</c:v>
                </c:pt>
                <c:pt idx="66">
                  <c:v>96.49</c:v>
                </c:pt>
                <c:pt idx="67">
                  <c:v>92.36</c:v>
                </c:pt>
                <c:pt idx="68">
                  <c:v>93.02</c:v>
                </c:pt>
                <c:pt idx="69">
                  <c:v>92.83</c:v>
                </c:pt>
                <c:pt idx="70">
                  <c:v>88</c:v>
                </c:pt>
                <c:pt idx="71">
                  <c:v>89.15</c:v>
                </c:pt>
                <c:pt idx="72">
                  <c:v>92.84</c:v>
                </c:pt>
                <c:pt idx="73">
                  <c:v>94</c:v>
                </c:pt>
                <c:pt idx="74">
                  <c:v>93.17</c:v>
                </c:pt>
                <c:pt idx="75">
                  <c:v>94.1</c:v>
                </c:pt>
                <c:pt idx="76">
                  <c:v>90.84</c:v>
                </c:pt>
                <c:pt idx="77">
                  <c:v>91.35</c:v>
                </c:pt>
                <c:pt idx="78">
                  <c:v>92</c:v>
                </c:pt>
                <c:pt idx="79">
                  <c:v>90.62</c:v>
                </c:pt>
                <c:pt idx="80">
                  <c:v>89.83</c:v>
                </c:pt>
                <c:pt idx="81">
                  <c:v>90.46</c:v>
                </c:pt>
                <c:pt idx="82">
                  <c:v>86.15</c:v>
                </c:pt>
                <c:pt idx="83">
                  <c:v>84.06</c:v>
                </c:pt>
                <c:pt idx="84">
                  <c:v>86.27</c:v>
                </c:pt>
                <c:pt idx="85">
                  <c:v>89.32</c:v>
                </c:pt>
                <c:pt idx="86">
                  <c:v>88.49</c:v>
                </c:pt>
                <c:pt idx="87">
                  <c:v>87.96</c:v>
                </c:pt>
                <c:pt idx="88">
                  <c:v>88.86</c:v>
                </c:pt>
                <c:pt idx="89">
                  <c:v>91.8</c:v>
                </c:pt>
                <c:pt idx="90">
                  <c:v>93.37</c:v>
                </c:pt>
                <c:pt idx="91">
                  <c:v>94.42</c:v>
                </c:pt>
                <c:pt idx="92">
                  <c:v>97.92</c:v>
                </c:pt>
                <c:pt idx="93">
                  <c:v>96.19</c:v>
                </c:pt>
                <c:pt idx="94">
                  <c:v>94.29</c:v>
                </c:pt>
                <c:pt idx="95">
                  <c:v>92.45</c:v>
                </c:pt>
                <c:pt idx="96">
                  <c:v>94.57</c:v>
                </c:pt>
                <c:pt idx="97">
                  <c:v>91.63</c:v>
                </c:pt>
                <c:pt idx="98">
                  <c:v>91.62</c:v>
                </c:pt>
                <c:pt idx="99">
                  <c:v>90.03</c:v>
                </c:pt>
                <c:pt idx="100">
                  <c:v>92.41</c:v>
                </c:pt>
                <c:pt idx="101">
                  <c:v>92.38</c:v>
                </c:pt>
                <c:pt idx="102">
                  <c:v>93.5</c:v>
                </c:pt>
                <c:pt idx="103">
                  <c:v>93.26</c:v>
                </c:pt>
                <c:pt idx="104">
                  <c:v>93.52</c:v>
                </c:pt>
                <c:pt idx="105">
                  <c:v>95.69</c:v>
                </c:pt>
                <c:pt idx="106">
                  <c:v>96.96</c:v>
                </c:pt>
                <c:pt idx="107">
                  <c:v>95.77</c:v>
                </c:pt>
                <c:pt idx="108">
                  <c:v>94.83</c:v>
                </c:pt>
                <c:pt idx="109">
                  <c:v>94.65</c:v>
                </c:pt>
                <c:pt idx="110">
                  <c:v>96.16</c:v>
                </c:pt>
                <c:pt idx="111">
                  <c:v>94.67</c:v>
                </c:pt>
                <c:pt idx="112">
                  <c:v>98.57</c:v>
                </c:pt>
                <c:pt idx="113">
                  <c:v>97.92</c:v>
                </c:pt>
                <c:pt idx="114">
                  <c:v>95.36</c:v>
                </c:pt>
                <c:pt idx="115">
                  <c:v>92.65</c:v>
                </c:pt>
                <c:pt idx="116">
                  <c:v>93.67</c:v>
                </c:pt>
                <c:pt idx="117">
                  <c:v>95.99</c:v>
                </c:pt>
                <c:pt idx="118">
                  <c:v>93.14</c:v>
                </c:pt>
                <c:pt idx="119">
                  <c:v>93.86</c:v>
                </c:pt>
                <c:pt idx="120">
                  <c:v>92.86</c:v>
                </c:pt>
                <c:pt idx="121">
                  <c:v>89.78</c:v>
                </c:pt>
                <c:pt idx="122">
                  <c:v>87.62</c:v>
                </c:pt>
                <c:pt idx="123">
                  <c:v>87.45</c:v>
                </c:pt>
                <c:pt idx="124">
                  <c:v>88.36</c:v>
                </c:pt>
                <c:pt idx="125">
                  <c:v>85.41</c:v>
                </c:pt>
                <c:pt idx="126">
                  <c:v>83.63</c:v>
                </c:pt>
                <c:pt idx="127">
                  <c:v>83.19</c:v>
                </c:pt>
                <c:pt idx="128">
                  <c:v>83.03</c:v>
                </c:pt>
                <c:pt idx="129">
                  <c:v>85.43</c:v>
                </c:pt>
                <c:pt idx="130">
                  <c:v>86.88</c:v>
                </c:pt>
                <c:pt idx="131">
                  <c:v>85.57</c:v>
                </c:pt>
                <c:pt idx="132">
                  <c:v>82.68</c:v>
                </c:pt>
                <c:pt idx="133">
                  <c:v>79.349999999999994</c:v>
                </c:pt>
                <c:pt idx="134">
                  <c:v>77.17</c:v>
                </c:pt>
                <c:pt idx="135">
                  <c:v>76.150000000000006</c:v>
                </c:pt>
                <c:pt idx="136">
                  <c:v>76.099999999999994</c:v>
                </c:pt>
                <c:pt idx="137">
                  <c:v>77.989999999999995</c:v>
                </c:pt>
                <c:pt idx="138">
                  <c:v>80.680000000000007</c:v>
                </c:pt>
                <c:pt idx="139">
                  <c:v>82.7</c:v>
                </c:pt>
                <c:pt idx="140">
                  <c:v>81.209999999999994</c:v>
                </c:pt>
                <c:pt idx="141">
                  <c:v>79.040000000000006</c:v>
                </c:pt>
                <c:pt idx="142">
                  <c:v>79.8</c:v>
                </c:pt>
                <c:pt idx="143">
                  <c:v>79.989999999999995</c:v>
                </c:pt>
                <c:pt idx="144">
                  <c:v>82.2</c:v>
                </c:pt>
                <c:pt idx="145">
                  <c:v>80.98</c:v>
                </c:pt>
                <c:pt idx="146">
                  <c:v>83.92</c:v>
                </c:pt>
                <c:pt idx="147">
                  <c:v>84.33</c:v>
                </c:pt>
                <c:pt idx="148">
                  <c:v>83.26</c:v>
                </c:pt>
                <c:pt idx="149">
                  <c:v>82.26</c:v>
                </c:pt>
                <c:pt idx="150">
                  <c:v>85.91</c:v>
                </c:pt>
                <c:pt idx="151">
                  <c:v>82.1</c:v>
                </c:pt>
                <c:pt idx="152">
                  <c:v>77.84</c:v>
                </c:pt>
                <c:pt idx="153">
                  <c:v>78.69</c:v>
                </c:pt>
                <c:pt idx="154">
                  <c:v>78.569999999999993</c:v>
                </c:pt>
                <c:pt idx="155">
                  <c:v>79.650000000000006</c:v>
                </c:pt>
                <c:pt idx="156">
                  <c:v>80.099999999999994</c:v>
                </c:pt>
                <c:pt idx="157">
                  <c:v>82.67</c:v>
                </c:pt>
                <c:pt idx="158">
                  <c:v>84.03</c:v>
                </c:pt>
                <c:pt idx="159">
                  <c:v>85.28</c:v>
                </c:pt>
                <c:pt idx="160">
                  <c:v>85.92</c:v>
                </c:pt>
                <c:pt idx="161">
                  <c:v>84.98</c:v>
                </c:pt>
                <c:pt idx="162">
                  <c:v>86.16</c:v>
                </c:pt>
                <c:pt idx="163">
                  <c:v>87.63</c:v>
                </c:pt>
                <c:pt idx="164">
                  <c:v>88.19</c:v>
                </c:pt>
                <c:pt idx="165">
                  <c:v>86.13</c:v>
                </c:pt>
                <c:pt idx="166">
                  <c:v>86.12</c:v>
                </c:pt>
                <c:pt idx="167">
                  <c:v>87.47</c:v>
                </c:pt>
                <c:pt idx="168">
                  <c:v>86.66</c:v>
                </c:pt>
                <c:pt idx="169">
                  <c:v>84.9</c:v>
                </c:pt>
                <c:pt idx="170">
                  <c:v>84.49</c:v>
                </c:pt>
                <c:pt idx="171">
                  <c:v>82.84</c:v>
                </c:pt>
                <c:pt idx="172">
                  <c:v>82.17</c:v>
                </c:pt>
                <c:pt idx="173">
                  <c:v>79.94</c:v>
                </c:pt>
                <c:pt idx="174">
                  <c:v>80.989999999999995</c:v>
                </c:pt>
                <c:pt idx="175">
                  <c:v>83.69</c:v>
                </c:pt>
                <c:pt idx="176">
                  <c:v>85.09</c:v>
                </c:pt>
                <c:pt idx="177">
                  <c:v>84.5</c:v>
                </c:pt>
                <c:pt idx="178">
                  <c:v>86.39</c:v>
                </c:pt>
                <c:pt idx="179">
                  <c:v>86.61</c:v>
                </c:pt>
                <c:pt idx="180">
                  <c:v>85.58</c:v>
                </c:pt>
                <c:pt idx="181">
                  <c:v>85.38</c:v>
                </c:pt>
                <c:pt idx="182">
                  <c:v>85.14</c:v>
                </c:pt>
                <c:pt idx="183">
                  <c:v>83</c:v>
                </c:pt>
                <c:pt idx="184">
                  <c:v>83.05</c:v>
                </c:pt>
                <c:pt idx="185">
                  <c:v>80.599999999999994</c:v>
                </c:pt>
                <c:pt idx="186">
                  <c:v>82.21</c:v>
                </c:pt>
                <c:pt idx="187">
                  <c:v>83.16</c:v>
                </c:pt>
                <c:pt idx="188">
                  <c:v>82.45</c:v>
                </c:pt>
                <c:pt idx="189">
                  <c:v>83.89</c:v>
                </c:pt>
                <c:pt idx="190">
                  <c:v>84.31</c:v>
                </c:pt>
                <c:pt idx="191">
                  <c:v>84.75</c:v>
                </c:pt>
                <c:pt idx="192">
                  <c:v>85.83</c:v>
                </c:pt>
                <c:pt idx="193">
                  <c:v>86.18</c:v>
                </c:pt>
                <c:pt idx="194">
                  <c:v>83.29</c:v>
                </c:pt>
                <c:pt idx="195">
                  <c:v>82.66</c:v>
                </c:pt>
                <c:pt idx="196">
                  <c:v>81.59</c:v>
                </c:pt>
                <c:pt idx="197">
                  <c:v>82.78</c:v>
                </c:pt>
                <c:pt idx="198">
                  <c:v>80.77</c:v>
                </c:pt>
                <c:pt idx="199">
                  <c:v>77.45</c:v>
                </c:pt>
                <c:pt idx="200">
                  <c:v>73.69</c:v>
                </c:pt>
                <c:pt idx="201">
                  <c:v>74.7</c:v>
                </c:pt>
                <c:pt idx="202">
                  <c:v>72.97</c:v>
                </c:pt>
                <c:pt idx="203">
                  <c:v>73.790000000000006</c:v>
                </c:pt>
                <c:pt idx="204">
                  <c:v>75.319999999999993</c:v>
                </c:pt>
                <c:pt idx="205">
                  <c:v>76.69</c:v>
                </c:pt>
                <c:pt idx="206">
                  <c:v>75.91</c:v>
                </c:pt>
                <c:pt idx="207">
                  <c:v>74.989999999999995</c:v>
                </c:pt>
                <c:pt idx="208">
                  <c:v>78.12</c:v>
                </c:pt>
                <c:pt idx="209">
                  <c:v>78.650000000000006</c:v>
                </c:pt>
                <c:pt idx="210">
                  <c:v>78.28</c:v>
                </c:pt>
                <c:pt idx="211">
                  <c:v>79.27</c:v>
                </c:pt>
                <c:pt idx="212">
                  <c:v>79.77</c:v>
                </c:pt>
                <c:pt idx="213">
                  <c:v>84.93</c:v>
                </c:pt>
                <c:pt idx="214">
                  <c:v>84.94</c:v>
                </c:pt>
                <c:pt idx="215">
                  <c:v>84.99</c:v>
                </c:pt>
                <c:pt idx="216">
                  <c:v>85.12</c:v>
                </c:pt>
                <c:pt idx="217">
                  <c:v>84.18</c:v>
                </c:pt>
                <c:pt idx="218">
                  <c:v>85.61</c:v>
                </c:pt>
                <c:pt idx="219">
                  <c:v>87.33</c:v>
                </c:pt>
                <c:pt idx="220">
                  <c:v>86.09</c:v>
                </c:pt>
                <c:pt idx="221">
                  <c:v>86.31</c:v>
                </c:pt>
                <c:pt idx="222">
                  <c:v>84.76</c:v>
                </c:pt>
                <c:pt idx="223">
                  <c:v>84.77</c:v>
                </c:pt>
                <c:pt idx="224">
                  <c:v>83.12</c:v>
                </c:pt>
                <c:pt idx="225">
                  <c:v>81.099999999999994</c:v>
                </c:pt>
                <c:pt idx="226">
                  <c:v>81.66</c:v>
                </c:pt>
                <c:pt idx="227">
                  <c:v>82.73</c:v>
                </c:pt>
                <c:pt idx="228">
                  <c:v>80.77</c:v>
                </c:pt>
                <c:pt idx="229">
                  <c:v>77.69</c:v>
                </c:pt>
                <c:pt idx="230">
                  <c:v>78.37</c:v>
                </c:pt>
                <c:pt idx="231">
                  <c:v>79.540000000000006</c:v>
                </c:pt>
                <c:pt idx="232">
                  <c:v>79.31</c:v>
                </c:pt>
                <c:pt idx="233">
                  <c:v>75.319999999999993</c:v>
                </c:pt>
                <c:pt idx="234">
                  <c:v>72.33</c:v>
                </c:pt>
                <c:pt idx="235">
                  <c:v>72.5</c:v>
                </c:pt>
                <c:pt idx="236">
                  <c:v>75.3</c:v>
                </c:pt>
                <c:pt idx="237">
                  <c:v>77.010000000000005</c:v>
                </c:pt>
                <c:pt idx="238">
                  <c:v>77.44</c:v>
                </c:pt>
                <c:pt idx="239">
                  <c:v>76.41</c:v>
                </c:pt>
                <c:pt idx="240">
                  <c:v>74.98</c:v>
                </c:pt>
                <c:pt idx="241">
                  <c:v>74.17</c:v>
                </c:pt>
                <c:pt idx="242">
                  <c:v>75.23</c:v>
                </c:pt>
                <c:pt idx="243">
                  <c:v>74.91</c:v>
                </c:pt>
                <c:pt idx="244">
                  <c:v>76.959999999999994</c:v>
                </c:pt>
                <c:pt idx="245">
                  <c:v>75.86</c:v>
                </c:pt>
                <c:pt idx="246">
                  <c:v>75.58</c:v>
                </c:pt>
                <c:pt idx="247">
                  <c:v>75.989999999999995</c:v>
                </c:pt>
                <c:pt idx="248">
                  <c:v>76.84</c:v>
                </c:pt>
                <c:pt idx="249">
                  <c:v>78.36</c:v>
                </c:pt>
                <c:pt idx="250">
                  <c:v>76.260000000000005</c:v>
                </c:pt>
                <c:pt idx="251">
                  <c:v>76.95</c:v>
                </c:pt>
                <c:pt idx="252">
                  <c:v>73.540000000000006</c:v>
                </c:pt>
                <c:pt idx="253">
                  <c:v>72.66</c:v>
                </c:pt>
                <c:pt idx="254">
                  <c:v>74.28</c:v>
                </c:pt>
                <c:pt idx="255">
                  <c:v>76.13</c:v>
                </c:pt>
                <c:pt idx="256">
                  <c:v>76.709999999999994</c:v>
                </c:pt>
                <c:pt idx="257">
                  <c:v>76.290000000000006</c:v>
                </c:pt>
                <c:pt idx="258">
                  <c:v>76.95</c:v>
                </c:pt>
                <c:pt idx="259">
                  <c:v>75.959999999999994</c:v>
                </c:pt>
                <c:pt idx="260">
                  <c:v>74.790000000000006</c:v>
                </c:pt>
                <c:pt idx="261">
                  <c:v>71.84</c:v>
                </c:pt>
                <c:pt idx="262">
                  <c:v>74.290000000000006</c:v>
                </c:pt>
                <c:pt idx="263">
                  <c:v>73.2</c:v>
                </c:pt>
                <c:pt idx="264">
                  <c:v>75.67</c:v>
                </c:pt>
                <c:pt idx="265">
                  <c:v>76.61</c:v>
                </c:pt>
                <c:pt idx="266">
                  <c:v>75.900000000000006</c:v>
                </c:pt>
                <c:pt idx="267">
                  <c:v>77.12</c:v>
                </c:pt>
                <c:pt idx="268">
                  <c:v>74.14</c:v>
                </c:pt>
                <c:pt idx="269">
                  <c:v>73.849999999999994</c:v>
                </c:pt>
                <c:pt idx="270">
                  <c:v>74.180000000000007</c:v>
                </c:pt>
                <c:pt idx="271">
                  <c:v>72.260000000000005</c:v>
                </c:pt>
                <c:pt idx="272">
                  <c:v>74.03</c:v>
                </c:pt>
                <c:pt idx="273">
                  <c:v>74.34</c:v>
                </c:pt>
                <c:pt idx="274">
                  <c:v>74.900000000000006</c:v>
                </c:pt>
                <c:pt idx="275">
                  <c:v>74.650000000000006</c:v>
                </c:pt>
                <c:pt idx="276">
                  <c:v>76.650000000000006</c:v>
                </c:pt>
                <c:pt idx="277">
                  <c:v>76.52</c:v>
                </c:pt>
                <c:pt idx="278">
                  <c:v>78.47</c:v>
                </c:pt>
                <c:pt idx="279">
                  <c:v>77.69</c:v>
                </c:pt>
                <c:pt idx="280">
                  <c:v>79.400000000000006</c:v>
                </c:pt>
                <c:pt idx="281">
                  <c:v>80.11</c:v>
                </c:pt>
                <c:pt idx="282">
                  <c:v>81.36</c:v>
                </c:pt>
                <c:pt idx="283">
                  <c:v>79.87</c:v>
                </c:pt>
                <c:pt idx="284">
                  <c:v>78.5</c:v>
                </c:pt>
                <c:pt idx="285">
                  <c:v>79.63</c:v>
                </c:pt>
                <c:pt idx="286">
                  <c:v>79.459999999999994</c:v>
                </c:pt>
                <c:pt idx="287">
                  <c:v>79.64</c:v>
                </c:pt>
                <c:pt idx="288">
                  <c:v>81.069999999999993</c:v>
                </c:pt>
                <c:pt idx="289">
                  <c:v>82.74</c:v>
                </c:pt>
                <c:pt idx="290">
                  <c:v>83.64</c:v>
                </c:pt>
                <c:pt idx="291">
                  <c:v>82.92</c:v>
                </c:pt>
                <c:pt idx="292">
                  <c:v>84.24</c:v>
                </c:pt>
                <c:pt idx="293">
                  <c:v>84.99</c:v>
                </c:pt>
                <c:pt idx="294">
                  <c:v>85.56</c:v>
                </c:pt>
                <c:pt idx="295">
                  <c:v>84.91</c:v>
                </c:pt>
                <c:pt idx="296">
                  <c:v>83.2</c:v>
                </c:pt>
                <c:pt idx="297">
                  <c:v>85.14</c:v>
                </c:pt>
                <c:pt idx="298">
                  <c:v>86.24</c:v>
                </c:pt>
                <c:pt idx="299">
                  <c:v>85.34</c:v>
                </c:pt>
                <c:pt idx="300">
                  <c:v>86.17</c:v>
                </c:pt>
                <c:pt idx="301">
                  <c:v>87.55</c:v>
                </c:pt>
                <c:pt idx="302">
                  <c:v>86.4</c:v>
                </c:pt>
                <c:pt idx="303">
                  <c:v>86.81</c:v>
                </c:pt>
                <c:pt idx="304">
                  <c:v>86.21</c:v>
                </c:pt>
                <c:pt idx="305">
                  <c:v>84.89</c:v>
                </c:pt>
                <c:pt idx="306">
                  <c:v>83.45</c:v>
                </c:pt>
                <c:pt idx="307">
                  <c:v>84.12</c:v>
                </c:pt>
                <c:pt idx="308">
                  <c:v>84.8</c:v>
                </c:pt>
                <c:pt idx="309">
                  <c:v>84.46</c:v>
                </c:pt>
                <c:pt idx="310">
                  <c:v>84.03</c:v>
                </c:pt>
                <c:pt idx="311">
                  <c:v>83.21</c:v>
                </c:pt>
                <c:pt idx="312">
                  <c:v>83.36</c:v>
                </c:pt>
                <c:pt idx="313">
                  <c:v>84.48</c:v>
                </c:pt>
                <c:pt idx="314">
                  <c:v>84.42</c:v>
                </c:pt>
                <c:pt idx="315">
                  <c:v>85.49</c:v>
                </c:pt>
                <c:pt idx="316">
                  <c:v>85.86</c:v>
                </c:pt>
                <c:pt idx="317">
                  <c:v>86.86</c:v>
                </c:pt>
                <c:pt idx="318">
                  <c:v>88.55</c:v>
                </c:pt>
                <c:pt idx="319">
                  <c:v>90.04</c:v>
                </c:pt>
                <c:pt idx="320">
                  <c:v>90.6</c:v>
                </c:pt>
                <c:pt idx="321">
                  <c:v>89.92</c:v>
                </c:pt>
                <c:pt idx="322">
                  <c:v>90.65</c:v>
                </c:pt>
                <c:pt idx="323">
                  <c:v>90.64</c:v>
                </c:pt>
                <c:pt idx="324">
                  <c:v>92.06</c:v>
                </c:pt>
                <c:pt idx="325">
                  <c:v>91.88</c:v>
                </c:pt>
                <c:pt idx="326">
                  <c:v>93.7</c:v>
                </c:pt>
                <c:pt idx="327">
                  <c:v>93.93</c:v>
                </c:pt>
                <c:pt idx="328">
                  <c:v>94.43</c:v>
                </c:pt>
                <c:pt idx="329">
                  <c:v>94.34</c:v>
                </c:pt>
                <c:pt idx="330">
                  <c:v>93.53</c:v>
                </c:pt>
                <c:pt idx="331">
                  <c:v>93.3</c:v>
                </c:pt>
                <c:pt idx="332">
                  <c:v>93.27</c:v>
                </c:pt>
                <c:pt idx="333">
                  <c:v>93.29</c:v>
                </c:pt>
                <c:pt idx="334">
                  <c:v>93.96</c:v>
                </c:pt>
                <c:pt idx="335">
                  <c:v>96.55</c:v>
                </c:pt>
                <c:pt idx="336">
                  <c:v>95.38</c:v>
                </c:pt>
                <c:pt idx="337">
                  <c:v>95.31</c:v>
                </c:pt>
                <c:pt idx="338">
                  <c:v>90.71</c:v>
                </c:pt>
                <c:pt idx="339">
                  <c:v>90.92</c:v>
                </c:pt>
                <c:pt idx="340">
                  <c:v>85.81</c:v>
                </c:pt>
                <c:pt idx="341">
                  <c:v>84.07</c:v>
                </c:pt>
                <c:pt idx="342">
                  <c:v>84.58</c:v>
                </c:pt>
                <c:pt idx="343">
                  <c:v>88.15</c:v>
                </c:pt>
                <c:pt idx="344">
                  <c:v>87.65</c:v>
                </c:pt>
                <c:pt idx="345">
                  <c:v>85.82</c:v>
                </c:pt>
                <c:pt idx="346">
                  <c:v>86</c:v>
                </c:pt>
                <c:pt idx="347">
                  <c:v>90.89</c:v>
                </c:pt>
                <c:pt idx="348">
                  <c:v>89.65</c:v>
                </c:pt>
                <c:pt idx="349">
                  <c:v>89.9</c:v>
                </c:pt>
                <c:pt idx="350">
                  <c:v>91.5</c:v>
                </c:pt>
                <c:pt idx="351">
                  <c:v>92.38</c:v>
                </c:pt>
                <c:pt idx="352">
                  <c:v>92.16</c:v>
                </c:pt>
                <c:pt idx="353">
                  <c:v>89.83</c:v>
                </c:pt>
                <c:pt idx="354">
                  <c:v>88.07</c:v>
                </c:pt>
                <c:pt idx="355">
                  <c:v>90.13</c:v>
                </c:pt>
                <c:pt idx="356">
                  <c:v>87.93</c:v>
                </c:pt>
                <c:pt idx="357">
                  <c:v>90.48</c:v>
                </c:pt>
                <c:pt idx="358">
                  <c:v>87.45</c:v>
                </c:pt>
                <c:pt idx="359">
                  <c:v>87.41</c:v>
                </c:pt>
                <c:pt idx="360">
                  <c:v>84.63</c:v>
                </c:pt>
                <c:pt idx="361">
                  <c:v>86.85</c:v>
                </c:pt>
                <c:pt idx="362">
                  <c:v>84.89</c:v>
                </c:pt>
                <c:pt idx="363">
                  <c:v>85.18</c:v>
                </c:pt>
                <c:pt idx="364">
                  <c:v>81.61</c:v>
                </c:pt>
                <c:pt idx="365">
                  <c:v>79.540000000000006</c:v>
                </c:pt>
                <c:pt idx="366">
                  <c:v>80.010000000000005</c:v>
                </c:pt>
                <c:pt idx="367">
                  <c:v>81.430000000000007</c:v>
                </c:pt>
                <c:pt idx="368">
                  <c:v>82.52</c:v>
                </c:pt>
                <c:pt idx="369">
                  <c:v>82.47</c:v>
                </c:pt>
                <c:pt idx="370">
                  <c:v>81.180000000000007</c:v>
                </c:pt>
                <c:pt idx="371">
                  <c:v>77.42</c:v>
                </c:pt>
                <c:pt idx="372">
                  <c:v>80.61</c:v>
                </c:pt>
                <c:pt idx="373">
                  <c:v>82.32</c:v>
                </c:pt>
                <c:pt idx="374">
                  <c:v>82.45</c:v>
                </c:pt>
                <c:pt idx="375">
                  <c:v>81.96</c:v>
                </c:pt>
                <c:pt idx="376">
                  <c:v>80.58</c:v>
                </c:pt>
                <c:pt idx="377">
                  <c:v>79.98</c:v>
                </c:pt>
                <c:pt idx="378">
                  <c:v>81.680000000000007</c:v>
                </c:pt>
                <c:pt idx="379">
                  <c:v>83.1</c:v>
                </c:pt>
                <c:pt idx="380">
                  <c:v>82.83</c:v>
                </c:pt>
                <c:pt idx="381">
                  <c:v>78.88</c:v>
                </c:pt>
                <c:pt idx="382">
                  <c:v>78.03</c:v>
                </c:pt>
                <c:pt idx="383">
                  <c:v>77.2</c:v>
                </c:pt>
                <c:pt idx="384">
                  <c:v>74.3</c:v>
                </c:pt>
                <c:pt idx="385">
                  <c:v>74.05</c:v>
                </c:pt>
                <c:pt idx="386">
                  <c:v>75.84</c:v>
                </c:pt>
                <c:pt idx="387">
                  <c:v>76.03</c:v>
                </c:pt>
                <c:pt idx="388">
                  <c:v>73.239999999999995</c:v>
                </c:pt>
                <c:pt idx="389">
                  <c:v>74.260000000000005</c:v>
                </c:pt>
                <c:pt idx="390">
                  <c:v>76.61</c:v>
                </c:pt>
                <c:pt idx="391">
                  <c:v>76.55</c:v>
                </c:pt>
                <c:pt idx="392">
                  <c:v>77.95</c:v>
                </c:pt>
                <c:pt idx="393">
                  <c:v>79.23</c:v>
                </c:pt>
                <c:pt idx="394">
                  <c:v>79.7</c:v>
                </c:pt>
                <c:pt idx="395">
                  <c:v>79.39</c:v>
                </c:pt>
                <c:pt idx="396">
                  <c:v>79.069999999999993</c:v>
                </c:pt>
                <c:pt idx="397">
                  <c:v>81.069999999999993</c:v>
                </c:pt>
                <c:pt idx="398">
                  <c:v>79.650000000000006</c:v>
                </c:pt>
                <c:pt idx="399">
                  <c:v>78.39</c:v>
                </c:pt>
                <c:pt idx="400">
                  <c:v>77.040000000000006</c:v>
                </c:pt>
                <c:pt idx="401">
                  <c:v>75.89</c:v>
                </c:pt>
                <c:pt idx="402">
                  <c:v>78.25</c:v>
                </c:pt>
                <c:pt idx="403">
                  <c:v>77.59</c:v>
                </c:pt>
                <c:pt idx="404">
                  <c:v>78.760000000000005</c:v>
                </c:pt>
                <c:pt idx="405">
                  <c:v>76.12</c:v>
                </c:pt>
                <c:pt idx="406">
                  <c:v>77.59</c:v>
                </c:pt>
                <c:pt idx="407">
                  <c:v>76.8</c:v>
                </c:pt>
                <c:pt idx="408">
                  <c:v>77.41</c:v>
                </c:pt>
                <c:pt idx="409">
                  <c:v>78.290000000000006</c:v>
                </c:pt>
                <c:pt idx="410">
                  <c:v>78.290000000000006</c:v>
                </c:pt>
                <c:pt idx="411">
                  <c:v>77.88</c:v>
                </c:pt>
                <c:pt idx="412">
                  <c:v>79.099999999999994</c:v>
                </c:pt>
                <c:pt idx="413">
                  <c:v>78.56</c:v>
                </c:pt>
                <c:pt idx="414">
                  <c:v>80.06</c:v>
                </c:pt>
                <c:pt idx="415">
                  <c:v>79.55</c:v>
                </c:pt>
                <c:pt idx="416">
                  <c:v>80.040000000000006</c:v>
                </c:pt>
                <c:pt idx="417">
                  <c:v>82.43</c:v>
                </c:pt>
                <c:pt idx="418">
                  <c:v>83.55</c:v>
                </c:pt>
                <c:pt idx="419">
                  <c:v>82.4</c:v>
                </c:pt>
                <c:pt idx="420">
                  <c:v>82.87</c:v>
                </c:pt>
                <c:pt idx="421">
                  <c:v>81.709999999999994</c:v>
                </c:pt>
                <c:pt idx="422">
                  <c:v>78.7</c:v>
                </c:pt>
                <c:pt idx="423">
                  <c:v>77.33</c:v>
                </c:pt>
                <c:pt idx="424">
                  <c:v>77.989999999999995</c:v>
                </c:pt>
                <c:pt idx="425">
                  <c:v>78.59</c:v>
                </c:pt>
                <c:pt idx="426">
                  <c:v>79.209999999999994</c:v>
                </c:pt>
                <c:pt idx="427">
                  <c:v>81.63</c:v>
                </c:pt>
                <c:pt idx="428">
                  <c:v>82.19</c:v>
                </c:pt>
                <c:pt idx="429">
                  <c:v>82</c:v>
                </c:pt>
                <c:pt idx="430">
                  <c:v>82.77</c:v>
                </c:pt>
                <c:pt idx="431">
                  <c:v>81.599999999999994</c:v>
                </c:pt>
                <c:pt idx="432">
                  <c:v>82.86</c:v>
                </c:pt>
                <c:pt idx="433">
                  <c:v>83.47</c:v>
                </c:pt>
                <c:pt idx="434">
                  <c:v>82.34</c:v>
                </c:pt>
                <c:pt idx="435">
                  <c:v>83.03</c:v>
                </c:pt>
                <c:pt idx="436">
                  <c:v>83.67</c:v>
                </c:pt>
                <c:pt idx="437">
                  <c:v>81.62</c:v>
                </c:pt>
                <c:pt idx="438">
                  <c:v>82.53</c:v>
                </c:pt>
                <c:pt idx="439">
                  <c:v>83.65</c:v>
                </c:pt>
                <c:pt idx="440">
                  <c:v>83.68</c:v>
                </c:pt>
                <c:pt idx="441">
                  <c:v>83.62</c:v>
                </c:pt>
                <c:pt idx="442">
                  <c:v>83.55</c:v>
                </c:pt>
                <c:pt idx="443">
                  <c:v>82.8</c:v>
                </c:pt>
                <c:pt idx="444">
                  <c:v>82.04</c:v>
                </c:pt>
                <c:pt idx="445">
                  <c:v>82.96</c:v>
                </c:pt>
                <c:pt idx="446">
                  <c:v>82.96</c:v>
                </c:pt>
                <c:pt idx="447">
                  <c:v>82.08</c:v>
                </c:pt>
                <c:pt idx="448">
                  <c:v>82.21</c:v>
                </c:pt>
                <c:pt idx="449">
                  <c:v>81.92</c:v>
                </c:pt>
                <c:pt idx="450">
                  <c:v>84.03</c:v>
                </c:pt>
                <c:pt idx="451">
                  <c:v>85.42</c:v>
                </c:pt>
                <c:pt idx="452">
                  <c:v>85.34</c:v>
                </c:pt>
                <c:pt idx="453">
                  <c:v>86.89</c:v>
                </c:pt>
                <c:pt idx="454">
                  <c:v>87.38</c:v>
                </c:pt>
                <c:pt idx="455">
                  <c:v>85.95</c:v>
                </c:pt>
                <c:pt idx="456">
                  <c:v>85.78</c:v>
                </c:pt>
                <c:pt idx="457">
                  <c:v>85.43</c:v>
                </c:pt>
                <c:pt idx="458">
                  <c:v>86.75</c:v>
                </c:pt>
                <c:pt idx="459">
                  <c:v>86.25</c:v>
                </c:pt>
                <c:pt idx="460">
                  <c:v>86.09</c:v>
                </c:pt>
                <c:pt idx="461">
                  <c:v>87.48</c:v>
                </c:pt>
                <c:pt idx="462">
                  <c:v>87.42</c:v>
                </c:pt>
                <c:pt idx="463">
                  <c:v>88.92</c:v>
                </c:pt>
                <c:pt idx="464">
                  <c:v>89.35</c:v>
                </c:pt>
                <c:pt idx="465">
                  <c:v>90.65</c:v>
                </c:pt>
                <c:pt idx="466">
                  <c:v>91.17</c:v>
                </c:pt>
                <c:pt idx="467">
                  <c:v>90.38</c:v>
                </c:pt>
                <c:pt idx="468">
                  <c:v>89.42</c:v>
                </c:pt>
                <c:pt idx="469">
                  <c:v>90.48</c:v>
                </c:pt>
                <c:pt idx="470">
                  <c:v>89.74</c:v>
                </c:pt>
                <c:pt idx="471">
                  <c:v>90.45</c:v>
                </c:pt>
                <c:pt idx="472">
                  <c:v>90.1</c:v>
                </c:pt>
                <c:pt idx="473">
                  <c:v>90.02</c:v>
                </c:pt>
                <c:pt idx="474">
                  <c:v>87.29</c:v>
                </c:pt>
                <c:pt idx="475">
                  <c:v>87.11</c:v>
                </c:pt>
                <c:pt idx="476">
                  <c:v>87.29</c:v>
                </c:pt>
                <c:pt idx="477">
                  <c:v>87</c:v>
                </c:pt>
                <c:pt idx="478">
                  <c:v>88.42</c:v>
                </c:pt>
                <c:pt idx="479">
                  <c:v>88.02</c:v>
                </c:pt>
                <c:pt idx="480">
                  <c:v>89.01</c:v>
                </c:pt>
                <c:pt idx="481">
                  <c:v>89.5</c:v>
                </c:pt>
                <c:pt idx="482">
                  <c:v>88.4</c:v>
                </c:pt>
                <c:pt idx="483">
                  <c:v>87.86</c:v>
                </c:pt>
                <c:pt idx="484">
                  <c:v>83.44</c:v>
                </c:pt>
                <c:pt idx="485">
                  <c:v>83.67</c:v>
                </c:pt>
                <c:pt idx="486">
                  <c:v>82.96</c:v>
                </c:pt>
                <c:pt idx="487">
                  <c:v>83.33</c:v>
                </c:pt>
                <c:pt idx="488">
                  <c:v>83.16</c:v>
                </c:pt>
                <c:pt idx="489">
                  <c:v>83.58</c:v>
                </c:pt>
                <c:pt idx="490">
                  <c:v>83.88</c:v>
                </c:pt>
                <c:pt idx="491">
                  <c:v>82.79</c:v>
                </c:pt>
                <c:pt idx="492">
                  <c:v>83.36</c:v>
                </c:pt>
                <c:pt idx="493">
                  <c:v>82.38</c:v>
                </c:pt>
                <c:pt idx="494">
                  <c:v>82.75</c:v>
                </c:pt>
                <c:pt idx="495">
                  <c:v>83.27</c:v>
                </c:pt>
                <c:pt idx="496">
                  <c:v>83.98</c:v>
                </c:pt>
                <c:pt idx="497">
                  <c:v>83.71</c:v>
                </c:pt>
                <c:pt idx="498">
                  <c:v>82.88</c:v>
                </c:pt>
                <c:pt idx="499">
                  <c:v>81.900000000000006</c:v>
                </c:pt>
                <c:pt idx="500">
                  <c:v>81.36</c:v>
                </c:pt>
                <c:pt idx="501">
                  <c:v>82.12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41-4C47-B0D3-D6ABC9C2DFC3}"/>
            </c:ext>
          </c:extLst>
        </c:ser>
        <c:ser>
          <c:idx val="1"/>
          <c:order val="1"/>
          <c:tx>
            <c:v>St Modelado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MME!$B$2:$B$503</c:f>
              <c:numCache>
                <c:formatCode>m/d/yyyy</c:formatCode>
                <c:ptCount val="502"/>
                <c:pt idx="0">
                  <c:v>44707</c:v>
                </c:pt>
                <c:pt idx="1">
                  <c:v>44708</c:v>
                </c:pt>
                <c:pt idx="2">
                  <c:v>44712</c:v>
                </c:pt>
                <c:pt idx="3">
                  <c:v>44713</c:v>
                </c:pt>
                <c:pt idx="4">
                  <c:v>44714</c:v>
                </c:pt>
                <c:pt idx="5">
                  <c:v>44715</c:v>
                </c:pt>
                <c:pt idx="6">
                  <c:v>44718</c:v>
                </c:pt>
                <c:pt idx="7">
                  <c:v>44719</c:v>
                </c:pt>
                <c:pt idx="8">
                  <c:v>44720</c:v>
                </c:pt>
                <c:pt idx="9">
                  <c:v>44721</c:v>
                </c:pt>
                <c:pt idx="10">
                  <c:v>44722</c:v>
                </c:pt>
                <c:pt idx="11">
                  <c:v>44725</c:v>
                </c:pt>
                <c:pt idx="12">
                  <c:v>44726</c:v>
                </c:pt>
                <c:pt idx="13">
                  <c:v>44727</c:v>
                </c:pt>
                <c:pt idx="14">
                  <c:v>44728</c:v>
                </c:pt>
                <c:pt idx="15">
                  <c:v>44729</c:v>
                </c:pt>
                <c:pt idx="16">
                  <c:v>44733</c:v>
                </c:pt>
                <c:pt idx="17">
                  <c:v>44734</c:v>
                </c:pt>
                <c:pt idx="18">
                  <c:v>44735</c:v>
                </c:pt>
                <c:pt idx="19">
                  <c:v>44736</c:v>
                </c:pt>
                <c:pt idx="20">
                  <c:v>44739</c:v>
                </c:pt>
                <c:pt idx="21">
                  <c:v>44740</c:v>
                </c:pt>
                <c:pt idx="22">
                  <c:v>44741</c:v>
                </c:pt>
                <c:pt idx="23">
                  <c:v>44742</c:v>
                </c:pt>
                <c:pt idx="24">
                  <c:v>44743</c:v>
                </c:pt>
                <c:pt idx="25">
                  <c:v>44747</c:v>
                </c:pt>
                <c:pt idx="26">
                  <c:v>44748</c:v>
                </c:pt>
                <c:pt idx="27">
                  <c:v>44749</c:v>
                </c:pt>
                <c:pt idx="28">
                  <c:v>44750</c:v>
                </c:pt>
                <c:pt idx="29">
                  <c:v>44753</c:v>
                </c:pt>
                <c:pt idx="30">
                  <c:v>44754</c:v>
                </c:pt>
                <c:pt idx="31">
                  <c:v>44755</c:v>
                </c:pt>
                <c:pt idx="32">
                  <c:v>44756</c:v>
                </c:pt>
                <c:pt idx="33">
                  <c:v>44757</c:v>
                </c:pt>
                <c:pt idx="34">
                  <c:v>44760</c:v>
                </c:pt>
                <c:pt idx="35">
                  <c:v>44761</c:v>
                </c:pt>
                <c:pt idx="36">
                  <c:v>44762</c:v>
                </c:pt>
                <c:pt idx="37">
                  <c:v>44763</c:v>
                </c:pt>
                <c:pt idx="38">
                  <c:v>44764</c:v>
                </c:pt>
                <c:pt idx="39">
                  <c:v>44767</c:v>
                </c:pt>
                <c:pt idx="40">
                  <c:v>44768</c:v>
                </c:pt>
                <c:pt idx="41">
                  <c:v>44769</c:v>
                </c:pt>
                <c:pt idx="42">
                  <c:v>44770</c:v>
                </c:pt>
                <c:pt idx="43">
                  <c:v>44771</c:v>
                </c:pt>
                <c:pt idx="44">
                  <c:v>44774</c:v>
                </c:pt>
                <c:pt idx="45">
                  <c:v>44775</c:v>
                </c:pt>
                <c:pt idx="46">
                  <c:v>44776</c:v>
                </c:pt>
                <c:pt idx="47">
                  <c:v>44777</c:v>
                </c:pt>
                <c:pt idx="48">
                  <c:v>44778</c:v>
                </c:pt>
                <c:pt idx="49">
                  <c:v>44781</c:v>
                </c:pt>
                <c:pt idx="50">
                  <c:v>44782</c:v>
                </c:pt>
                <c:pt idx="51">
                  <c:v>44783</c:v>
                </c:pt>
                <c:pt idx="52">
                  <c:v>44784</c:v>
                </c:pt>
                <c:pt idx="53">
                  <c:v>44785</c:v>
                </c:pt>
                <c:pt idx="54">
                  <c:v>44788</c:v>
                </c:pt>
                <c:pt idx="55">
                  <c:v>44789</c:v>
                </c:pt>
                <c:pt idx="56">
                  <c:v>44790</c:v>
                </c:pt>
                <c:pt idx="57">
                  <c:v>44791</c:v>
                </c:pt>
                <c:pt idx="58">
                  <c:v>44792</c:v>
                </c:pt>
                <c:pt idx="59">
                  <c:v>44795</c:v>
                </c:pt>
                <c:pt idx="60">
                  <c:v>44796</c:v>
                </c:pt>
                <c:pt idx="61">
                  <c:v>44797</c:v>
                </c:pt>
                <c:pt idx="62">
                  <c:v>44798</c:v>
                </c:pt>
                <c:pt idx="63">
                  <c:v>44799</c:v>
                </c:pt>
                <c:pt idx="64">
                  <c:v>44802</c:v>
                </c:pt>
                <c:pt idx="65">
                  <c:v>44803</c:v>
                </c:pt>
                <c:pt idx="66">
                  <c:v>44804</c:v>
                </c:pt>
                <c:pt idx="67">
                  <c:v>44805</c:v>
                </c:pt>
                <c:pt idx="68">
                  <c:v>44806</c:v>
                </c:pt>
                <c:pt idx="69">
                  <c:v>44810</c:v>
                </c:pt>
                <c:pt idx="70">
                  <c:v>44811</c:v>
                </c:pt>
                <c:pt idx="71">
                  <c:v>44812</c:v>
                </c:pt>
                <c:pt idx="72">
                  <c:v>44813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44830</c:v>
                </c:pt>
                <c:pt idx="84">
                  <c:v>44831</c:v>
                </c:pt>
                <c:pt idx="85">
                  <c:v>44832</c:v>
                </c:pt>
                <c:pt idx="86">
                  <c:v>44833</c:v>
                </c:pt>
                <c:pt idx="87">
                  <c:v>44834</c:v>
                </c:pt>
                <c:pt idx="88">
                  <c:v>44837</c:v>
                </c:pt>
                <c:pt idx="89">
                  <c:v>44838</c:v>
                </c:pt>
                <c:pt idx="90">
                  <c:v>44839</c:v>
                </c:pt>
                <c:pt idx="91">
                  <c:v>44840</c:v>
                </c:pt>
                <c:pt idx="92">
                  <c:v>44841</c:v>
                </c:pt>
                <c:pt idx="93">
                  <c:v>44844</c:v>
                </c:pt>
                <c:pt idx="94">
                  <c:v>44845</c:v>
                </c:pt>
                <c:pt idx="95">
                  <c:v>44846</c:v>
                </c:pt>
                <c:pt idx="96">
                  <c:v>44847</c:v>
                </c:pt>
                <c:pt idx="97">
                  <c:v>44848</c:v>
                </c:pt>
                <c:pt idx="98">
                  <c:v>44851</c:v>
                </c:pt>
                <c:pt idx="99">
                  <c:v>44852</c:v>
                </c:pt>
                <c:pt idx="100">
                  <c:v>44853</c:v>
                </c:pt>
                <c:pt idx="101">
                  <c:v>44854</c:v>
                </c:pt>
                <c:pt idx="102">
                  <c:v>44855</c:v>
                </c:pt>
                <c:pt idx="103">
                  <c:v>44858</c:v>
                </c:pt>
                <c:pt idx="104">
                  <c:v>44859</c:v>
                </c:pt>
                <c:pt idx="105">
                  <c:v>44860</c:v>
                </c:pt>
                <c:pt idx="106">
                  <c:v>44861</c:v>
                </c:pt>
                <c:pt idx="107">
                  <c:v>44862</c:v>
                </c:pt>
                <c:pt idx="108">
                  <c:v>44865</c:v>
                </c:pt>
                <c:pt idx="109">
                  <c:v>44866</c:v>
                </c:pt>
                <c:pt idx="110">
                  <c:v>44867</c:v>
                </c:pt>
                <c:pt idx="111">
                  <c:v>44868</c:v>
                </c:pt>
                <c:pt idx="112">
                  <c:v>44869</c:v>
                </c:pt>
                <c:pt idx="113">
                  <c:v>44872</c:v>
                </c:pt>
                <c:pt idx="114">
                  <c:v>44873</c:v>
                </c:pt>
                <c:pt idx="115">
                  <c:v>44874</c:v>
                </c:pt>
                <c:pt idx="116">
                  <c:v>44875</c:v>
                </c:pt>
                <c:pt idx="117">
                  <c:v>44876</c:v>
                </c:pt>
                <c:pt idx="118">
                  <c:v>44879</c:v>
                </c:pt>
                <c:pt idx="119">
                  <c:v>44880</c:v>
                </c:pt>
                <c:pt idx="120">
                  <c:v>44881</c:v>
                </c:pt>
                <c:pt idx="121">
                  <c:v>44882</c:v>
                </c:pt>
                <c:pt idx="122">
                  <c:v>44883</c:v>
                </c:pt>
                <c:pt idx="123">
                  <c:v>44886</c:v>
                </c:pt>
                <c:pt idx="124">
                  <c:v>44887</c:v>
                </c:pt>
                <c:pt idx="125">
                  <c:v>44888</c:v>
                </c:pt>
                <c:pt idx="126">
                  <c:v>44890</c:v>
                </c:pt>
                <c:pt idx="127">
                  <c:v>44893</c:v>
                </c:pt>
                <c:pt idx="128">
                  <c:v>44894</c:v>
                </c:pt>
                <c:pt idx="129">
                  <c:v>44895</c:v>
                </c:pt>
                <c:pt idx="130">
                  <c:v>44896</c:v>
                </c:pt>
                <c:pt idx="131">
                  <c:v>44897</c:v>
                </c:pt>
                <c:pt idx="132">
                  <c:v>44900</c:v>
                </c:pt>
                <c:pt idx="133">
                  <c:v>44901</c:v>
                </c:pt>
                <c:pt idx="134">
                  <c:v>44902</c:v>
                </c:pt>
                <c:pt idx="135">
                  <c:v>44903</c:v>
                </c:pt>
                <c:pt idx="136">
                  <c:v>44904</c:v>
                </c:pt>
                <c:pt idx="137">
                  <c:v>44907</c:v>
                </c:pt>
                <c:pt idx="138">
                  <c:v>44908</c:v>
                </c:pt>
                <c:pt idx="139">
                  <c:v>44909</c:v>
                </c:pt>
                <c:pt idx="140">
                  <c:v>44910</c:v>
                </c:pt>
                <c:pt idx="141">
                  <c:v>44911</c:v>
                </c:pt>
                <c:pt idx="142">
                  <c:v>44914</c:v>
                </c:pt>
                <c:pt idx="143">
                  <c:v>44915</c:v>
                </c:pt>
                <c:pt idx="144">
                  <c:v>44916</c:v>
                </c:pt>
                <c:pt idx="145">
                  <c:v>44917</c:v>
                </c:pt>
                <c:pt idx="146">
                  <c:v>44918</c:v>
                </c:pt>
                <c:pt idx="147">
                  <c:v>44922</c:v>
                </c:pt>
                <c:pt idx="148">
                  <c:v>44923</c:v>
                </c:pt>
                <c:pt idx="149">
                  <c:v>44924</c:v>
                </c:pt>
                <c:pt idx="150">
                  <c:v>44925</c:v>
                </c:pt>
                <c:pt idx="151">
                  <c:v>44929</c:v>
                </c:pt>
                <c:pt idx="152">
                  <c:v>44930</c:v>
                </c:pt>
                <c:pt idx="153">
                  <c:v>44931</c:v>
                </c:pt>
                <c:pt idx="154">
                  <c:v>44932</c:v>
                </c:pt>
                <c:pt idx="155">
                  <c:v>44935</c:v>
                </c:pt>
                <c:pt idx="156">
                  <c:v>44936</c:v>
                </c:pt>
                <c:pt idx="157">
                  <c:v>44937</c:v>
                </c:pt>
                <c:pt idx="158">
                  <c:v>44938</c:v>
                </c:pt>
                <c:pt idx="159">
                  <c:v>44939</c:v>
                </c:pt>
                <c:pt idx="160">
                  <c:v>44943</c:v>
                </c:pt>
                <c:pt idx="161">
                  <c:v>44944</c:v>
                </c:pt>
                <c:pt idx="162">
                  <c:v>44945</c:v>
                </c:pt>
                <c:pt idx="163">
                  <c:v>44946</c:v>
                </c:pt>
                <c:pt idx="164">
                  <c:v>44949</c:v>
                </c:pt>
                <c:pt idx="165">
                  <c:v>44950</c:v>
                </c:pt>
                <c:pt idx="166">
                  <c:v>44951</c:v>
                </c:pt>
                <c:pt idx="167">
                  <c:v>44952</c:v>
                </c:pt>
                <c:pt idx="168">
                  <c:v>44953</c:v>
                </c:pt>
                <c:pt idx="169">
                  <c:v>44956</c:v>
                </c:pt>
                <c:pt idx="170">
                  <c:v>44957</c:v>
                </c:pt>
                <c:pt idx="171">
                  <c:v>44958</c:v>
                </c:pt>
                <c:pt idx="172">
                  <c:v>44959</c:v>
                </c:pt>
                <c:pt idx="173">
                  <c:v>44960</c:v>
                </c:pt>
                <c:pt idx="174">
                  <c:v>44963</c:v>
                </c:pt>
                <c:pt idx="175">
                  <c:v>44964</c:v>
                </c:pt>
                <c:pt idx="176">
                  <c:v>44965</c:v>
                </c:pt>
                <c:pt idx="177">
                  <c:v>44966</c:v>
                </c:pt>
                <c:pt idx="178">
                  <c:v>44967</c:v>
                </c:pt>
                <c:pt idx="179">
                  <c:v>44970</c:v>
                </c:pt>
                <c:pt idx="180">
                  <c:v>44971</c:v>
                </c:pt>
                <c:pt idx="181">
                  <c:v>44972</c:v>
                </c:pt>
                <c:pt idx="182">
                  <c:v>44973</c:v>
                </c:pt>
                <c:pt idx="183">
                  <c:v>44974</c:v>
                </c:pt>
                <c:pt idx="184">
                  <c:v>44978</c:v>
                </c:pt>
                <c:pt idx="185">
                  <c:v>44979</c:v>
                </c:pt>
                <c:pt idx="186">
                  <c:v>44980</c:v>
                </c:pt>
                <c:pt idx="187">
                  <c:v>44981</c:v>
                </c:pt>
                <c:pt idx="188">
                  <c:v>44984</c:v>
                </c:pt>
                <c:pt idx="189">
                  <c:v>44985</c:v>
                </c:pt>
                <c:pt idx="190">
                  <c:v>44986</c:v>
                </c:pt>
                <c:pt idx="191">
                  <c:v>44987</c:v>
                </c:pt>
                <c:pt idx="192">
                  <c:v>44988</c:v>
                </c:pt>
                <c:pt idx="193">
                  <c:v>44991</c:v>
                </c:pt>
                <c:pt idx="194">
                  <c:v>44992</c:v>
                </c:pt>
                <c:pt idx="195">
                  <c:v>44993</c:v>
                </c:pt>
                <c:pt idx="196">
                  <c:v>44994</c:v>
                </c:pt>
                <c:pt idx="197">
                  <c:v>44995</c:v>
                </c:pt>
                <c:pt idx="198">
                  <c:v>44998</c:v>
                </c:pt>
                <c:pt idx="199">
                  <c:v>44999</c:v>
                </c:pt>
                <c:pt idx="200">
                  <c:v>45000</c:v>
                </c:pt>
                <c:pt idx="201">
                  <c:v>45001</c:v>
                </c:pt>
                <c:pt idx="202">
                  <c:v>45002</c:v>
                </c:pt>
                <c:pt idx="203">
                  <c:v>45005</c:v>
                </c:pt>
                <c:pt idx="204">
                  <c:v>45006</c:v>
                </c:pt>
                <c:pt idx="205">
                  <c:v>45007</c:v>
                </c:pt>
                <c:pt idx="206">
                  <c:v>45008</c:v>
                </c:pt>
                <c:pt idx="207">
                  <c:v>45009</c:v>
                </c:pt>
                <c:pt idx="208">
                  <c:v>45012</c:v>
                </c:pt>
                <c:pt idx="209">
                  <c:v>45013</c:v>
                </c:pt>
                <c:pt idx="210">
                  <c:v>45014</c:v>
                </c:pt>
                <c:pt idx="211">
                  <c:v>45015</c:v>
                </c:pt>
                <c:pt idx="212">
                  <c:v>45016</c:v>
                </c:pt>
                <c:pt idx="213">
                  <c:v>45019</c:v>
                </c:pt>
                <c:pt idx="214">
                  <c:v>45020</c:v>
                </c:pt>
                <c:pt idx="215">
                  <c:v>45021</c:v>
                </c:pt>
                <c:pt idx="216">
                  <c:v>45022</c:v>
                </c:pt>
                <c:pt idx="217">
                  <c:v>45026</c:v>
                </c:pt>
                <c:pt idx="218">
                  <c:v>45027</c:v>
                </c:pt>
                <c:pt idx="219">
                  <c:v>45028</c:v>
                </c:pt>
                <c:pt idx="220">
                  <c:v>45029</c:v>
                </c:pt>
                <c:pt idx="221">
                  <c:v>45030</c:v>
                </c:pt>
                <c:pt idx="222">
                  <c:v>45033</c:v>
                </c:pt>
                <c:pt idx="223">
                  <c:v>45034</c:v>
                </c:pt>
                <c:pt idx="224">
                  <c:v>45035</c:v>
                </c:pt>
                <c:pt idx="225">
                  <c:v>45036</c:v>
                </c:pt>
                <c:pt idx="226">
                  <c:v>45037</c:v>
                </c:pt>
                <c:pt idx="227">
                  <c:v>45040</c:v>
                </c:pt>
                <c:pt idx="228">
                  <c:v>45041</c:v>
                </c:pt>
                <c:pt idx="229">
                  <c:v>45042</c:v>
                </c:pt>
                <c:pt idx="230">
                  <c:v>45043</c:v>
                </c:pt>
                <c:pt idx="231">
                  <c:v>45044</c:v>
                </c:pt>
                <c:pt idx="232">
                  <c:v>45047</c:v>
                </c:pt>
                <c:pt idx="233">
                  <c:v>45048</c:v>
                </c:pt>
                <c:pt idx="234">
                  <c:v>45049</c:v>
                </c:pt>
                <c:pt idx="235">
                  <c:v>45050</c:v>
                </c:pt>
                <c:pt idx="236">
                  <c:v>45051</c:v>
                </c:pt>
                <c:pt idx="237">
                  <c:v>45054</c:v>
                </c:pt>
                <c:pt idx="238">
                  <c:v>45055</c:v>
                </c:pt>
                <c:pt idx="239">
                  <c:v>45056</c:v>
                </c:pt>
                <c:pt idx="240">
                  <c:v>45057</c:v>
                </c:pt>
                <c:pt idx="241">
                  <c:v>45058</c:v>
                </c:pt>
                <c:pt idx="242">
                  <c:v>45061</c:v>
                </c:pt>
                <c:pt idx="243">
                  <c:v>45062</c:v>
                </c:pt>
                <c:pt idx="244">
                  <c:v>45063</c:v>
                </c:pt>
                <c:pt idx="245">
                  <c:v>45064</c:v>
                </c:pt>
                <c:pt idx="246">
                  <c:v>45065</c:v>
                </c:pt>
                <c:pt idx="247">
                  <c:v>45068</c:v>
                </c:pt>
                <c:pt idx="248">
                  <c:v>45069</c:v>
                </c:pt>
                <c:pt idx="249">
                  <c:v>45070</c:v>
                </c:pt>
                <c:pt idx="250">
                  <c:v>45071</c:v>
                </c:pt>
                <c:pt idx="251">
                  <c:v>45072</c:v>
                </c:pt>
                <c:pt idx="252">
                  <c:v>45076</c:v>
                </c:pt>
                <c:pt idx="253">
                  <c:v>45077</c:v>
                </c:pt>
                <c:pt idx="254">
                  <c:v>45078</c:v>
                </c:pt>
                <c:pt idx="255">
                  <c:v>45079</c:v>
                </c:pt>
                <c:pt idx="256">
                  <c:v>45082</c:v>
                </c:pt>
                <c:pt idx="257">
                  <c:v>45083</c:v>
                </c:pt>
                <c:pt idx="258">
                  <c:v>45084</c:v>
                </c:pt>
                <c:pt idx="259">
                  <c:v>45085</c:v>
                </c:pt>
                <c:pt idx="260">
                  <c:v>45086</c:v>
                </c:pt>
                <c:pt idx="261">
                  <c:v>45089</c:v>
                </c:pt>
                <c:pt idx="262">
                  <c:v>45090</c:v>
                </c:pt>
                <c:pt idx="263">
                  <c:v>45091</c:v>
                </c:pt>
                <c:pt idx="264">
                  <c:v>45092</c:v>
                </c:pt>
                <c:pt idx="265">
                  <c:v>45093</c:v>
                </c:pt>
                <c:pt idx="266">
                  <c:v>45097</c:v>
                </c:pt>
                <c:pt idx="267">
                  <c:v>45098</c:v>
                </c:pt>
                <c:pt idx="268">
                  <c:v>45099</c:v>
                </c:pt>
                <c:pt idx="269">
                  <c:v>45100</c:v>
                </c:pt>
                <c:pt idx="270">
                  <c:v>45103</c:v>
                </c:pt>
                <c:pt idx="271">
                  <c:v>45104</c:v>
                </c:pt>
                <c:pt idx="272">
                  <c:v>45105</c:v>
                </c:pt>
                <c:pt idx="273">
                  <c:v>45106</c:v>
                </c:pt>
                <c:pt idx="274">
                  <c:v>45107</c:v>
                </c:pt>
                <c:pt idx="275">
                  <c:v>45110</c:v>
                </c:pt>
                <c:pt idx="276">
                  <c:v>45112</c:v>
                </c:pt>
                <c:pt idx="277">
                  <c:v>45113</c:v>
                </c:pt>
                <c:pt idx="278">
                  <c:v>45114</c:v>
                </c:pt>
                <c:pt idx="279">
                  <c:v>45117</c:v>
                </c:pt>
                <c:pt idx="280">
                  <c:v>45118</c:v>
                </c:pt>
                <c:pt idx="281">
                  <c:v>45119</c:v>
                </c:pt>
                <c:pt idx="282">
                  <c:v>45120</c:v>
                </c:pt>
                <c:pt idx="283">
                  <c:v>45121</c:v>
                </c:pt>
                <c:pt idx="284">
                  <c:v>45124</c:v>
                </c:pt>
                <c:pt idx="285">
                  <c:v>45125</c:v>
                </c:pt>
                <c:pt idx="286">
                  <c:v>45126</c:v>
                </c:pt>
                <c:pt idx="287">
                  <c:v>45127</c:v>
                </c:pt>
                <c:pt idx="288">
                  <c:v>45128</c:v>
                </c:pt>
                <c:pt idx="289">
                  <c:v>45131</c:v>
                </c:pt>
                <c:pt idx="290">
                  <c:v>45132</c:v>
                </c:pt>
                <c:pt idx="291">
                  <c:v>45133</c:v>
                </c:pt>
                <c:pt idx="292">
                  <c:v>45134</c:v>
                </c:pt>
                <c:pt idx="293">
                  <c:v>45135</c:v>
                </c:pt>
                <c:pt idx="294">
                  <c:v>45138</c:v>
                </c:pt>
                <c:pt idx="295">
                  <c:v>45139</c:v>
                </c:pt>
                <c:pt idx="296">
                  <c:v>45140</c:v>
                </c:pt>
                <c:pt idx="297">
                  <c:v>45141</c:v>
                </c:pt>
                <c:pt idx="298">
                  <c:v>45142</c:v>
                </c:pt>
                <c:pt idx="299">
                  <c:v>45145</c:v>
                </c:pt>
                <c:pt idx="300">
                  <c:v>45146</c:v>
                </c:pt>
                <c:pt idx="301">
                  <c:v>45147</c:v>
                </c:pt>
                <c:pt idx="302">
                  <c:v>45148</c:v>
                </c:pt>
                <c:pt idx="303">
                  <c:v>45149</c:v>
                </c:pt>
                <c:pt idx="304">
                  <c:v>45152</c:v>
                </c:pt>
                <c:pt idx="305">
                  <c:v>45153</c:v>
                </c:pt>
                <c:pt idx="306">
                  <c:v>45154</c:v>
                </c:pt>
                <c:pt idx="307">
                  <c:v>45155</c:v>
                </c:pt>
                <c:pt idx="308">
                  <c:v>45156</c:v>
                </c:pt>
                <c:pt idx="309">
                  <c:v>45159</c:v>
                </c:pt>
                <c:pt idx="310">
                  <c:v>45160</c:v>
                </c:pt>
                <c:pt idx="311">
                  <c:v>45161</c:v>
                </c:pt>
                <c:pt idx="312">
                  <c:v>45162</c:v>
                </c:pt>
                <c:pt idx="313">
                  <c:v>45163</c:v>
                </c:pt>
                <c:pt idx="314">
                  <c:v>45166</c:v>
                </c:pt>
                <c:pt idx="315">
                  <c:v>45167</c:v>
                </c:pt>
                <c:pt idx="316">
                  <c:v>45168</c:v>
                </c:pt>
                <c:pt idx="317">
                  <c:v>45169</c:v>
                </c:pt>
                <c:pt idx="318">
                  <c:v>45170</c:v>
                </c:pt>
                <c:pt idx="319">
                  <c:v>45174</c:v>
                </c:pt>
                <c:pt idx="320">
                  <c:v>45175</c:v>
                </c:pt>
                <c:pt idx="321">
                  <c:v>45176</c:v>
                </c:pt>
                <c:pt idx="322">
                  <c:v>45177</c:v>
                </c:pt>
                <c:pt idx="323">
                  <c:v>45180</c:v>
                </c:pt>
                <c:pt idx="324">
                  <c:v>45181</c:v>
                </c:pt>
                <c:pt idx="325">
                  <c:v>45182</c:v>
                </c:pt>
                <c:pt idx="326">
                  <c:v>45183</c:v>
                </c:pt>
                <c:pt idx="327">
                  <c:v>45184</c:v>
                </c:pt>
                <c:pt idx="328">
                  <c:v>45187</c:v>
                </c:pt>
                <c:pt idx="329">
                  <c:v>45188</c:v>
                </c:pt>
                <c:pt idx="330">
                  <c:v>45189</c:v>
                </c:pt>
                <c:pt idx="331">
                  <c:v>45190</c:v>
                </c:pt>
                <c:pt idx="332">
                  <c:v>45191</c:v>
                </c:pt>
                <c:pt idx="333">
                  <c:v>45194</c:v>
                </c:pt>
                <c:pt idx="334">
                  <c:v>45195</c:v>
                </c:pt>
                <c:pt idx="335">
                  <c:v>45196</c:v>
                </c:pt>
                <c:pt idx="336">
                  <c:v>45197</c:v>
                </c:pt>
                <c:pt idx="337">
                  <c:v>45198</c:v>
                </c:pt>
                <c:pt idx="338">
                  <c:v>45201</c:v>
                </c:pt>
                <c:pt idx="339">
                  <c:v>45202</c:v>
                </c:pt>
                <c:pt idx="340">
                  <c:v>45203</c:v>
                </c:pt>
                <c:pt idx="341">
                  <c:v>45204</c:v>
                </c:pt>
                <c:pt idx="342">
                  <c:v>45205</c:v>
                </c:pt>
                <c:pt idx="343">
                  <c:v>45208</c:v>
                </c:pt>
                <c:pt idx="344">
                  <c:v>45209</c:v>
                </c:pt>
                <c:pt idx="345">
                  <c:v>45210</c:v>
                </c:pt>
                <c:pt idx="346">
                  <c:v>45211</c:v>
                </c:pt>
                <c:pt idx="347">
                  <c:v>45212</c:v>
                </c:pt>
                <c:pt idx="348">
                  <c:v>45215</c:v>
                </c:pt>
                <c:pt idx="349">
                  <c:v>45216</c:v>
                </c:pt>
                <c:pt idx="350">
                  <c:v>45217</c:v>
                </c:pt>
                <c:pt idx="351">
                  <c:v>45218</c:v>
                </c:pt>
                <c:pt idx="352">
                  <c:v>45219</c:v>
                </c:pt>
                <c:pt idx="353">
                  <c:v>45222</c:v>
                </c:pt>
                <c:pt idx="354">
                  <c:v>45223</c:v>
                </c:pt>
                <c:pt idx="355">
                  <c:v>45224</c:v>
                </c:pt>
                <c:pt idx="356">
                  <c:v>45225</c:v>
                </c:pt>
                <c:pt idx="357">
                  <c:v>45226</c:v>
                </c:pt>
                <c:pt idx="358">
                  <c:v>45229</c:v>
                </c:pt>
                <c:pt idx="359">
                  <c:v>45230</c:v>
                </c:pt>
                <c:pt idx="360">
                  <c:v>45231</c:v>
                </c:pt>
                <c:pt idx="361">
                  <c:v>45232</c:v>
                </c:pt>
                <c:pt idx="362">
                  <c:v>45233</c:v>
                </c:pt>
                <c:pt idx="363">
                  <c:v>45236</c:v>
                </c:pt>
                <c:pt idx="364">
                  <c:v>45237</c:v>
                </c:pt>
                <c:pt idx="365">
                  <c:v>45238</c:v>
                </c:pt>
                <c:pt idx="366">
                  <c:v>45239</c:v>
                </c:pt>
                <c:pt idx="367">
                  <c:v>45240</c:v>
                </c:pt>
                <c:pt idx="368">
                  <c:v>45243</c:v>
                </c:pt>
                <c:pt idx="369">
                  <c:v>45244</c:v>
                </c:pt>
                <c:pt idx="370">
                  <c:v>45245</c:v>
                </c:pt>
                <c:pt idx="371">
                  <c:v>45246</c:v>
                </c:pt>
                <c:pt idx="372">
                  <c:v>45247</c:v>
                </c:pt>
                <c:pt idx="373">
                  <c:v>45250</c:v>
                </c:pt>
                <c:pt idx="374">
                  <c:v>45251</c:v>
                </c:pt>
                <c:pt idx="375">
                  <c:v>45252</c:v>
                </c:pt>
                <c:pt idx="376">
                  <c:v>45254</c:v>
                </c:pt>
                <c:pt idx="377">
                  <c:v>45257</c:v>
                </c:pt>
                <c:pt idx="378">
                  <c:v>45258</c:v>
                </c:pt>
                <c:pt idx="379">
                  <c:v>45259</c:v>
                </c:pt>
                <c:pt idx="380">
                  <c:v>45260</c:v>
                </c:pt>
                <c:pt idx="381">
                  <c:v>45261</c:v>
                </c:pt>
                <c:pt idx="382">
                  <c:v>45264</c:v>
                </c:pt>
                <c:pt idx="383">
                  <c:v>45265</c:v>
                </c:pt>
                <c:pt idx="384">
                  <c:v>45266</c:v>
                </c:pt>
                <c:pt idx="385">
                  <c:v>45267</c:v>
                </c:pt>
                <c:pt idx="386">
                  <c:v>45268</c:v>
                </c:pt>
                <c:pt idx="387">
                  <c:v>45271</c:v>
                </c:pt>
                <c:pt idx="388">
                  <c:v>45272</c:v>
                </c:pt>
                <c:pt idx="389">
                  <c:v>45273</c:v>
                </c:pt>
                <c:pt idx="390">
                  <c:v>45274</c:v>
                </c:pt>
                <c:pt idx="391">
                  <c:v>45275</c:v>
                </c:pt>
                <c:pt idx="392">
                  <c:v>45278</c:v>
                </c:pt>
                <c:pt idx="393">
                  <c:v>45279</c:v>
                </c:pt>
                <c:pt idx="394">
                  <c:v>45280</c:v>
                </c:pt>
                <c:pt idx="395">
                  <c:v>45281</c:v>
                </c:pt>
                <c:pt idx="396">
                  <c:v>45282</c:v>
                </c:pt>
                <c:pt idx="397">
                  <c:v>45286</c:v>
                </c:pt>
                <c:pt idx="398">
                  <c:v>45287</c:v>
                </c:pt>
                <c:pt idx="399">
                  <c:v>45288</c:v>
                </c:pt>
                <c:pt idx="400">
                  <c:v>45289</c:v>
                </c:pt>
                <c:pt idx="401">
                  <c:v>45293</c:v>
                </c:pt>
                <c:pt idx="402">
                  <c:v>45294</c:v>
                </c:pt>
                <c:pt idx="403">
                  <c:v>45295</c:v>
                </c:pt>
                <c:pt idx="404">
                  <c:v>45296</c:v>
                </c:pt>
                <c:pt idx="405">
                  <c:v>45299</c:v>
                </c:pt>
                <c:pt idx="406">
                  <c:v>45300</c:v>
                </c:pt>
                <c:pt idx="407">
                  <c:v>45301</c:v>
                </c:pt>
                <c:pt idx="408">
                  <c:v>45302</c:v>
                </c:pt>
                <c:pt idx="409">
                  <c:v>45303</c:v>
                </c:pt>
                <c:pt idx="410">
                  <c:v>45307</c:v>
                </c:pt>
                <c:pt idx="411">
                  <c:v>45308</c:v>
                </c:pt>
                <c:pt idx="412">
                  <c:v>45309</c:v>
                </c:pt>
                <c:pt idx="413">
                  <c:v>45310</c:v>
                </c:pt>
                <c:pt idx="414">
                  <c:v>45313</c:v>
                </c:pt>
                <c:pt idx="415">
                  <c:v>45314</c:v>
                </c:pt>
                <c:pt idx="416">
                  <c:v>45315</c:v>
                </c:pt>
                <c:pt idx="417">
                  <c:v>45316</c:v>
                </c:pt>
                <c:pt idx="418">
                  <c:v>45317</c:v>
                </c:pt>
                <c:pt idx="419">
                  <c:v>45320</c:v>
                </c:pt>
                <c:pt idx="420">
                  <c:v>45321</c:v>
                </c:pt>
                <c:pt idx="421">
                  <c:v>45322</c:v>
                </c:pt>
                <c:pt idx="422">
                  <c:v>45323</c:v>
                </c:pt>
                <c:pt idx="423">
                  <c:v>45324</c:v>
                </c:pt>
                <c:pt idx="424">
                  <c:v>45327</c:v>
                </c:pt>
                <c:pt idx="425">
                  <c:v>45328</c:v>
                </c:pt>
                <c:pt idx="426">
                  <c:v>45329</c:v>
                </c:pt>
                <c:pt idx="427">
                  <c:v>45330</c:v>
                </c:pt>
                <c:pt idx="428">
                  <c:v>45331</c:v>
                </c:pt>
                <c:pt idx="429">
                  <c:v>45334</c:v>
                </c:pt>
                <c:pt idx="430">
                  <c:v>45335</c:v>
                </c:pt>
                <c:pt idx="431">
                  <c:v>45336</c:v>
                </c:pt>
                <c:pt idx="432">
                  <c:v>45337</c:v>
                </c:pt>
                <c:pt idx="433">
                  <c:v>45338</c:v>
                </c:pt>
                <c:pt idx="434">
                  <c:v>45342</c:v>
                </c:pt>
                <c:pt idx="435">
                  <c:v>45343</c:v>
                </c:pt>
                <c:pt idx="436">
                  <c:v>45344</c:v>
                </c:pt>
                <c:pt idx="437">
                  <c:v>45345</c:v>
                </c:pt>
                <c:pt idx="438">
                  <c:v>45348</c:v>
                </c:pt>
                <c:pt idx="439">
                  <c:v>45349</c:v>
                </c:pt>
                <c:pt idx="440">
                  <c:v>45350</c:v>
                </c:pt>
                <c:pt idx="441">
                  <c:v>45351</c:v>
                </c:pt>
                <c:pt idx="442">
                  <c:v>45352</c:v>
                </c:pt>
                <c:pt idx="443">
                  <c:v>45355</c:v>
                </c:pt>
                <c:pt idx="444">
                  <c:v>45356</c:v>
                </c:pt>
                <c:pt idx="445">
                  <c:v>45357</c:v>
                </c:pt>
                <c:pt idx="446">
                  <c:v>45358</c:v>
                </c:pt>
                <c:pt idx="447">
                  <c:v>45359</c:v>
                </c:pt>
                <c:pt idx="448">
                  <c:v>45362</c:v>
                </c:pt>
                <c:pt idx="449">
                  <c:v>45363</c:v>
                </c:pt>
                <c:pt idx="450">
                  <c:v>45364</c:v>
                </c:pt>
                <c:pt idx="451">
                  <c:v>45365</c:v>
                </c:pt>
                <c:pt idx="452">
                  <c:v>45366</c:v>
                </c:pt>
                <c:pt idx="453">
                  <c:v>45369</c:v>
                </c:pt>
                <c:pt idx="454">
                  <c:v>45370</c:v>
                </c:pt>
                <c:pt idx="455">
                  <c:v>45371</c:v>
                </c:pt>
                <c:pt idx="456">
                  <c:v>45372</c:v>
                </c:pt>
                <c:pt idx="457">
                  <c:v>45373</c:v>
                </c:pt>
                <c:pt idx="458">
                  <c:v>45376</c:v>
                </c:pt>
                <c:pt idx="459">
                  <c:v>45377</c:v>
                </c:pt>
                <c:pt idx="460">
                  <c:v>45378</c:v>
                </c:pt>
                <c:pt idx="461">
                  <c:v>45379</c:v>
                </c:pt>
                <c:pt idx="462">
                  <c:v>45383</c:v>
                </c:pt>
                <c:pt idx="463">
                  <c:v>45384</c:v>
                </c:pt>
                <c:pt idx="464">
                  <c:v>45385</c:v>
                </c:pt>
                <c:pt idx="465">
                  <c:v>45386</c:v>
                </c:pt>
                <c:pt idx="466">
                  <c:v>45387</c:v>
                </c:pt>
                <c:pt idx="467">
                  <c:v>45390</c:v>
                </c:pt>
                <c:pt idx="468">
                  <c:v>45391</c:v>
                </c:pt>
                <c:pt idx="469">
                  <c:v>45392</c:v>
                </c:pt>
                <c:pt idx="470">
                  <c:v>45393</c:v>
                </c:pt>
                <c:pt idx="471">
                  <c:v>45394</c:v>
                </c:pt>
                <c:pt idx="472">
                  <c:v>45397</c:v>
                </c:pt>
                <c:pt idx="473">
                  <c:v>45398</c:v>
                </c:pt>
                <c:pt idx="474">
                  <c:v>45399</c:v>
                </c:pt>
                <c:pt idx="475">
                  <c:v>45400</c:v>
                </c:pt>
                <c:pt idx="476">
                  <c:v>45401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45411</c:v>
                </c:pt>
                <c:pt idx="483">
                  <c:v>45412</c:v>
                </c:pt>
                <c:pt idx="484">
                  <c:v>45413</c:v>
                </c:pt>
                <c:pt idx="485">
                  <c:v>45414</c:v>
                </c:pt>
                <c:pt idx="486">
                  <c:v>45415</c:v>
                </c:pt>
                <c:pt idx="487">
                  <c:v>45418</c:v>
                </c:pt>
                <c:pt idx="488">
                  <c:v>45419</c:v>
                </c:pt>
                <c:pt idx="489">
                  <c:v>45420</c:v>
                </c:pt>
                <c:pt idx="490">
                  <c:v>45421</c:v>
                </c:pt>
                <c:pt idx="491">
                  <c:v>45422</c:v>
                </c:pt>
                <c:pt idx="492">
                  <c:v>45425</c:v>
                </c:pt>
                <c:pt idx="493">
                  <c:v>45426</c:v>
                </c:pt>
                <c:pt idx="494">
                  <c:v>45427</c:v>
                </c:pt>
                <c:pt idx="495">
                  <c:v>45428</c:v>
                </c:pt>
                <c:pt idx="496">
                  <c:v>45429</c:v>
                </c:pt>
                <c:pt idx="497">
                  <c:v>45432</c:v>
                </c:pt>
                <c:pt idx="498">
                  <c:v>45433</c:v>
                </c:pt>
                <c:pt idx="499">
                  <c:v>45434</c:v>
                </c:pt>
                <c:pt idx="500">
                  <c:v>45435</c:v>
                </c:pt>
                <c:pt idx="501">
                  <c:v>45436</c:v>
                </c:pt>
              </c:numCache>
            </c:numRef>
          </c:xVal>
          <c:yVal>
            <c:numRef>
              <c:f>MME!$I$2:$I$503</c:f>
              <c:numCache>
                <c:formatCode>General</c:formatCode>
                <c:ptCount val="502"/>
                <c:pt idx="0">
                  <c:v>117.36856164504707</c:v>
                </c:pt>
                <c:pt idx="1">
                  <c:v>118.19228197639396</c:v>
                </c:pt>
                <c:pt idx="2">
                  <c:v>119.66155246931127</c:v>
                </c:pt>
                <c:pt idx="3">
                  <c:v>120.34246422161559</c:v>
                </c:pt>
                <c:pt idx="4">
                  <c:v>120.04851901271941</c:v>
                </c:pt>
                <c:pt idx="5">
                  <c:v>119.48534306460338</c:v>
                </c:pt>
                <c:pt idx="6">
                  <c:v>120.15109913439915</c:v>
                </c:pt>
                <c:pt idx="7">
                  <c:v>119.41163520193541</c:v>
                </c:pt>
                <c:pt idx="8">
                  <c:v>120.75420062524884</c:v>
                </c:pt>
                <c:pt idx="9">
                  <c:v>119.83129900582529</c:v>
                </c:pt>
                <c:pt idx="10">
                  <c:v>119.22237791821311</c:v>
                </c:pt>
                <c:pt idx="11">
                  <c:v>117.40739289062536</c:v>
                </c:pt>
                <c:pt idx="12">
                  <c:v>116.81498695102495</c:v>
                </c:pt>
                <c:pt idx="13">
                  <c:v>115.77087375625557</c:v>
                </c:pt>
                <c:pt idx="14">
                  <c:v>115.94921933608914</c:v>
                </c:pt>
                <c:pt idx="15">
                  <c:v>116.03570530447709</c:v>
                </c:pt>
                <c:pt idx="16">
                  <c:v>116.41420105131721</c:v>
                </c:pt>
                <c:pt idx="17">
                  <c:v>117.30276496010104</c:v>
                </c:pt>
                <c:pt idx="18">
                  <c:v>117.68228594227448</c:v>
                </c:pt>
                <c:pt idx="19">
                  <c:v>119.55858654746905</c:v>
                </c:pt>
                <c:pt idx="20">
                  <c:v>118.07072963384256</c:v>
                </c:pt>
                <c:pt idx="21">
                  <c:v>116.98825504040195</c:v>
                </c:pt>
                <c:pt idx="22">
                  <c:v>118.24746775601037</c:v>
                </c:pt>
                <c:pt idx="23">
                  <c:v>118.02674568530175</c:v>
                </c:pt>
                <c:pt idx="24">
                  <c:v>116.01916691701668</c:v>
                </c:pt>
                <c:pt idx="25">
                  <c:v>115.60744680200875</c:v>
                </c:pt>
                <c:pt idx="26">
                  <c:v>116.20222303196329</c:v>
                </c:pt>
                <c:pt idx="27">
                  <c:v>115.45741438141238</c:v>
                </c:pt>
                <c:pt idx="28">
                  <c:v>113.63517989598932</c:v>
                </c:pt>
                <c:pt idx="29">
                  <c:v>113.50941919200235</c:v>
                </c:pt>
                <c:pt idx="30">
                  <c:v>112.08073755168307</c:v>
                </c:pt>
                <c:pt idx="31">
                  <c:v>110.30269755667231</c:v>
                </c:pt>
                <c:pt idx="32">
                  <c:v>109.50150863990878</c:v>
                </c:pt>
                <c:pt idx="33">
                  <c:v>109.03785827436185</c:v>
                </c:pt>
                <c:pt idx="34">
                  <c:v>109.25492310633643</c:v>
                </c:pt>
                <c:pt idx="35">
                  <c:v>109.86844998422433</c:v>
                </c:pt>
                <c:pt idx="36">
                  <c:v>109.79673652687023</c:v>
                </c:pt>
                <c:pt idx="37">
                  <c:v>109.92285012034009</c:v>
                </c:pt>
                <c:pt idx="38">
                  <c:v>109.21182500510649</c:v>
                </c:pt>
                <c:pt idx="39">
                  <c:v>109.32864897804349</c:v>
                </c:pt>
                <c:pt idx="40">
                  <c:v>109.80998066026729</c:v>
                </c:pt>
                <c:pt idx="41">
                  <c:v>109.65990289057714</c:v>
                </c:pt>
                <c:pt idx="42">
                  <c:v>107.23511260610893</c:v>
                </c:pt>
                <c:pt idx="43">
                  <c:v>106.43225193605419</c:v>
                </c:pt>
                <c:pt idx="44">
                  <c:v>105.46701178014264</c:v>
                </c:pt>
                <c:pt idx="45">
                  <c:v>104.42343133390999</c:v>
                </c:pt>
                <c:pt idx="46">
                  <c:v>102.73245230869891</c:v>
                </c:pt>
                <c:pt idx="47">
                  <c:v>103.16278708560897</c:v>
                </c:pt>
                <c:pt idx="48">
                  <c:v>103.56146895765274</c:v>
                </c:pt>
                <c:pt idx="49">
                  <c:v>104.25353222153356</c:v>
                </c:pt>
                <c:pt idx="50">
                  <c:v>104.78333501436963</c:v>
                </c:pt>
                <c:pt idx="51">
                  <c:v>106.56151686129405</c:v>
                </c:pt>
                <c:pt idx="52">
                  <c:v>105.21423459606724</c:v>
                </c:pt>
                <c:pt idx="53">
                  <c:v>104.31958827877497</c:v>
                </c:pt>
                <c:pt idx="54">
                  <c:v>102.85245025896781</c:v>
                </c:pt>
                <c:pt idx="55">
                  <c:v>103.51316501709168</c:v>
                </c:pt>
                <c:pt idx="56">
                  <c:v>102.66053440871923</c:v>
                </c:pt>
                <c:pt idx="57">
                  <c:v>100.47713851715957</c:v>
                </c:pt>
                <c:pt idx="58">
                  <c:v>101.13228293776942</c:v>
                </c:pt>
                <c:pt idx="59">
                  <c:v>101.8638812643169</c:v>
                </c:pt>
                <c:pt idx="60">
                  <c:v>100.43360354443334</c:v>
                </c:pt>
                <c:pt idx="61">
                  <c:v>100.91892102001269</c:v>
                </c:pt>
                <c:pt idx="62">
                  <c:v>99.577816051710641</c:v>
                </c:pt>
                <c:pt idx="63">
                  <c:v>98.715859132950442</c:v>
                </c:pt>
                <c:pt idx="64">
                  <c:v>100.9074644316038</c:v>
                </c:pt>
                <c:pt idx="65">
                  <c:v>101.44504058887156</c:v>
                </c:pt>
                <c:pt idx="66">
                  <c:v>100.22981301597108</c:v>
                </c:pt>
                <c:pt idx="67">
                  <c:v>100.03688093886946</c:v>
                </c:pt>
                <c:pt idx="68">
                  <c:v>99.169890068238544</c:v>
                </c:pt>
                <c:pt idx="69">
                  <c:v>97.301028678676687</c:v>
                </c:pt>
                <c:pt idx="70">
                  <c:v>96.350246678688364</c:v>
                </c:pt>
                <c:pt idx="71">
                  <c:v>95.462657929523445</c:v>
                </c:pt>
                <c:pt idx="72">
                  <c:v>96.283700725221408</c:v>
                </c:pt>
                <c:pt idx="73">
                  <c:v>94.356924965312103</c:v>
                </c:pt>
                <c:pt idx="74">
                  <c:v>94.076342825900568</c:v>
                </c:pt>
                <c:pt idx="75">
                  <c:v>92.291507269539352</c:v>
                </c:pt>
                <c:pt idx="76">
                  <c:v>92.731837122105944</c:v>
                </c:pt>
                <c:pt idx="77">
                  <c:v>91.503406129415794</c:v>
                </c:pt>
                <c:pt idx="78">
                  <c:v>93.062811022728965</c:v>
                </c:pt>
                <c:pt idx="79">
                  <c:v>93.739990385392133</c:v>
                </c:pt>
                <c:pt idx="80">
                  <c:v>93.096328348383778</c:v>
                </c:pt>
                <c:pt idx="81">
                  <c:v>91.926873466167365</c:v>
                </c:pt>
                <c:pt idx="82">
                  <c:v>91.446630277423893</c:v>
                </c:pt>
                <c:pt idx="83">
                  <c:v>90.512366663071333</c:v>
                </c:pt>
                <c:pt idx="84">
                  <c:v>89.833290661834766</c:v>
                </c:pt>
                <c:pt idx="85">
                  <c:v>90.118606678080667</c:v>
                </c:pt>
                <c:pt idx="86">
                  <c:v>91.405481795109495</c:v>
                </c:pt>
                <c:pt idx="87">
                  <c:v>92.156170164712023</c:v>
                </c:pt>
                <c:pt idx="88">
                  <c:v>91.477449605660155</c:v>
                </c:pt>
                <c:pt idx="89">
                  <c:v>90.824948237686542</c:v>
                </c:pt>
                <c:pt idx="90">
                  <c:v>89.525404898427141</c:v>
                </c:pt>
                <c:pt idx="91">
                  <c:v>88.961683361508832</c:v>
                </c:pt>
                <c:pt idx="92">
                  <c:v>88.645677426760429</c:v>
                </c:pt>
                <c:pt idx="93">
                  <c:v>88.282234889111692</c:v>
                </c:pt>
                <c:pt idx="94">
                  <c:v>87.058127085113199</c:v>
                </c:pt>
                <c:pt idx="95">
                  <c:v>87.529475573807531</c:v>
                </c:pt>
                <c:pt idx="96">
                  <c:v>87.74583530147757</c:v>
                </c:pt>
                <c:pt idx="97">
                  <c:v>86.304313500654189</c:v>
                </c:pt>
                <c:pt idx="98">
                  <c:v>86.568403406394509</c:v>
                </c:pt>
                <c:pt idx="99">
                  <c:v>86.640981283923551</c:v>
                </c:pt>
                <c:pt idx="100">
                  <c:v>87.103461215222623</c:v>
                </c:pt>
                <c:pt idx="101">
                  <c:v>85.994671194865319</c:v>
                </c:pt>
                <c:pt idx="102">
                  <c:v>86.082389801442858</c:v>
                </c:pt>
                <c:pt idx="103">
                  <c:v>86.710334022916712</c:v>
                </c:pt>
                <c:pt idx="104">
                  <c:v>86.773435636622992</c:v>
                </c:pt>
                <c:pt idx="105">
                  <c:v>86.422642187180955</c:v>
                </c:pt>
                <c:pt idx="106">
                  <c:v>85.319775119235089</c:v>
                </c:pt>
                <c:pt idx="107">
                  <c:v>85.739535760605506</c:v>
                </c:pt>
                <c:pt idx="108">
                  <c:v>85.292193777544767</c:v>
                </c:pt>
                <c:pt idx="109">
                  <c:v>85.862343028633433</c:v>
                </c:pt>
                <c:pt idx="110">
                  <c:v>85.879617633693798</c:v>
                </c:pt>
                <c:pt idx="111">
                  <c:v>86.22096355211886</c:v>
                </c:pt>
                <c:pt idx="112">
                  <c:v>84.595829681558712</c:v>
                </c:pt>
                <c:pt idx="113">
                  <c:v>84.35997007304276</c:v>
                </c:pt>
                <c:pt idx="114">
                  <c:v>82.706029023224502</c:v>
                </c:pt>
                <c:pt idx="115">
                  <c:v>83.075143877599004</c:v>
                </c:pt>
                <c:pt idx="116">
                  <c:v>84.099228266218674</c:v>
                </c:pt>
                <c:pt idx="117">
                  <c:v>84.669700121683675</c:v>
                </c:pt>
                <c:pt idx="118">
                  <c:v>84.486298728073024</c:v>
                </c:pt>
                <c:pt idx="119">
                  <c:v>84.315896269978978</c:v>
                </c:pt>
                <c:pt idx="120">
                  <c:v>84.655506688035985</c:v>
                </c:pt>
                <c:pt idx="121">
                  <c:v>84.733217385881545</c:v>
                </c:pt>
                <c:pt idx="122">
                  <c:v>84.564866560126262</c:v>
                </c:pt>
                <c:pt idx="123">
                  <c:v>83.92369878501637</c:v>
                </c:pt>
                <c:pt idx="124">
                  <c:v>83.365098516018406</c:v>
                </c:pt>
                <c:pt idx="125">
                  <c:v>83.095363016830007</c:v>
                </c:pt>
                <c:pt idx="126">
                  <c:v>82.797786551068327</c:v>
                </c:pt>
                <c:pt idx="127">
                  <c:v>81.976876023230815</c:v>
                </c:pt>
                <c:pt idx="128">
                  <c:v>83.020525871494428</c:v>
                </c:pt>
                <c:pt idx="129">
                  <c:v>82.392312724612395</c:v>
                </c:pt>
                <c:pt idx="130">
                  <c:v>82.898521080779531</c:v>
                </c:pt>
                <c:pt idx="131">
                  <c:v>83.890461644126916</c:v>
                </c:pt>
                <c:pt idx="132">
                  <c:v>84.680361519677831</c:v>
                </c:pt>
                <c:pt idx="133">
                  <c:v>85.785221301212758</c:v>
                </c:pt>
                <c:pt idx="134">
                  <c:v>85.071276602801575</c:v>
                </c:pt>
                <c:pt idx="135">
                  <c:v>84.143653769426891</c:v>
                </c:pt>
                <c:pt idx="136">
                  <c:v>84.050410955721787</c:v>
                </c:pt>
                <c:pt idx="137">
                  <c:v>83.969084136819831</c:v>
                </c:pt>
                <c:pt idx="138">
                  <c:v>83.117741351960731</c:v>
                </c:pt>
                <c:pt idx="139">
                  <c:v>83.245978444040361</c:v>
                </c:pt>
                <c:pt idx="140">
                  <c:v>82.780593332702594</c:v>
                </c:pt>
                <c:pt idx="141">
                  <c:v>82.264820015335744</c:v>
                </c:pt>
                <c:pt idx="142">
                  <c:v>80.861887374897066</c:v>
                </c:pt>
                <c:pt idx="143">
                  <c:v>82.058906527011274</c:v>
                </c:pt>
                <c:pt idx="144">
                  <c:v>83.253664163857749</c:v>
                </c:pt>
                <c:pt idx="145">
                  <c:v>83.880649420826344</c:v>
                </c:pt>
                <c:pt idx="146">
                  <c:v>83.345923422086955</c:v>
                </c:pt>
                <c:pt idx="147">
                  <c:v>83.526565498167969</c:v>
                </c:pt>
                <c:pt idx="148">
                  <c:v>83.524369544725715</c:v>
                </c:pt>
                <c:pt idx="149">
                  <c:v>82.404425883853705</c:v>
                </c:pt>
                <c:pt idx="150">
                  <c:v>82.315939897806686</c:v>
                </c:pt>
                <c:pt idx="151">
                  <c:v>82.282249240370632</c:v>
                </c:pt>
                <c:pt idx="152">
                  <c:v>82.813790754165723</c:v>
                </c:pt>
                <c:pt idx="153">
                  <c:v>83.013052916771869</c:v>
                </c:pt>
                <c:pt idx="154">
                  <c:v>82.834561422869101</c:v>
                </c:pt>
                <c:pt idx="155">
                  <c:v>82.226839106815333</c:v>
                </c:pt>
                <c:pt idx="156">
                  <c:v>82.159611389262096</c:v>
                </c:pt>
                <c:pt idx="157">
                  <c:v>81.637120568563617</c:v>
                </c:pt>
                <c:pt idx="158">
                  <c:v>81.084945481946249</c:v>
                </c:pt>
                <c:pt idx="159">
                  <c:v>80.235933215534317</c:v>
                </c:pt>
                <c:pt idx="160">
                  <c:v>79.149361805915689</c:v>
                </c:pt>
                <c:pt idx="161">
                  <c:v>78.035963819819941</c:v>
                </c:pt>
                <c:pt idx="162">
                  <c:v>79.591326240592409</c:v>
                </c:pt>
                <c:pt idx="163">
                  <c:v>79.904936192975711</c:v>
                </c:pt>
                <c:pt idx="164">
                  <c:v>79.518183551931827</c:v>
                </c:pt>
                <c:pt idx="165">
                  <c:v>79.266770122083798</c:v>
                </c:pt>
                <c:pt idx="166">
                  <c:v>79.805454603568322</c:v>
                </c:pt>
                <c:pt idx="167">
                  <c:v>80.075778004863764</c:v>
                </c:pt>
                <c:pt idx="168">
                  <c:v>79.912361615339066</c:v>
                </c:pt>
                <c:pt idx="169">
                  <c:v>79.665724971670159</c:v>
                </c:pt>
                <c:pt idx="170">
                  <c:v>78.87474705626056</c:v>
                </c:pt>
                <c:pt idx="171">
                  <c:v>79.867854535371677</c:v>
                </c:pt>
                <c:pt idx="172">
                  <c:v>79.465257401432638</c:v>
                </c:pt>
                <c:pt idx="173">
                  <c:v>80.152231609136877</c:v>
                </c:pt>
                <c:pt idx="174">
                  <c:v>80.489640563260636</c:v>
                </c:pt>
                <c:pt idx="175">
                  <c:v>79.439425703129302</c:v>
                </c:pt>
                <c:pt idx="176">
                  <c:v>80.048587797157211</c:v>
                </c:pt>
                <c:pt idx="177">
                  <c:v>79.945618841696856</c:v>
                </c:pt>
                <c:pt idx="178">
                  <c:v>79.798453199203692</c:v>
                </c:pt>
                <c:pt idx="179">
                  <c:v>78.339391120120311</c:v>
                </c:pt>
                <c:pt idx="180">
                  <c:v>78.552198059570159</c:v>
                </c:pt>
                <c:pt idx="181">
                  <c:v>79.133457480338748</c:v>
                </c:pt>
                <c:pt idx="182">
                  <c:v>77.958804759715946</c:v>
                </c:pt>
                <c:pt idx="183">
                  <c:v>78.340326176031056</c:v>
                </c:pt>
                <c:pt idx="184">
                  <c:v>78.339589355322317</c:v>
                </c:pt>
                <c:pt idx="185">
                  <c:v>78.398502598490367</c:v>
                </c:pt>
                <c:pt idx="186">
                  <c:v>79.425241755997661</c:v>
                </c:pt>
                <c:pt idx="187">
                  <c:v>78.969685184799204</c:v>
                </c:pt>
                <c:pt idx="188">
                  <c:v>79.099653303568047</c:v>
                </c:pt>
                <c:pt idx="189">
                  <c:v>78.520604010035328</c:v>
                </c:pt>
                <c:pt idx="190">
                  <c:v>78.295482760192783</c:v>
                </c:pt>
                <c:pt idx="191">
                  <c:v>77.140761747545113</c:v>
                </c:pt>
                <c:pt idx="192">
                  <c:v>77.300386648149029</c:v>
                </c:pt>
                <c:pt idx="193">
                  <c:v>77.810516523032888</c:v>
                </c:pt>
                <c:pt idx="194">
                  <c:v>78.356370225806103</c:v>
                </c:pt>
                <c:pt idx="195">
                  <c:v>79.371022021635341</c:v>
                </c:pt>
                <c:pt idx="196">
                  <c:v>79.59579853790494</c:v>
                </c:pt>
                <c:pt idx="197">
                  <c:v>80.688435680993564</c:v>
                </c:pt>
                <c:pt idx="198">
                  <c:v>79.329546785497925</c:v>
                </c:pt>
                <c:pt idx="199">
                  <c:v>78.764012345063279</c:v>
                </c:pt>
                <c:pt idx="200">
                  <c:v>78.860787772019222</c:v>
                </c:pt>
                <c:pt idx="201">
                  <c:v>79.69354690540797</c:v>
                </c:pt>
                <c:pt idx="202">
                  <c:v>79.027708402196268</c:v>
                </c:pt>
                <c:pt idx="203">
                  <c:v>78.601599951546163</c:v>
                </c:pt>
                <c:pt idx="204">
                  <c:v>78.904877081912034</c:v>
                </c:pt>
                <c:pt idx="205">
                  <c:v>78.532286081373556</c:v>
                </c:pt>
                <c:pt idx="206">
                  <c:v>79.389644081748159</c:v>
                </c:pt>
                <c:pt idx="207">
                  <c:v>79.20453089375124</c:v>
                </c:pt>
                <c:pt idx="208">
                  <c:v>80.024353451359005</c:v>
                </c:pt>
                <c:pt idx="209">
                  <c:v>81.179217108084245</c:v>
                </c:pt>
                <c:pt idx="210">
                  <c:v>80.32459595875271</c:v>
                </c:pt>
                <c:pt idx="211">
                  <c:v>81.004310839328909</c:v>
                </c:pt>
                <c:pt idx="212">
                  <c:v>80.531751364437966</c:v>
                </c:pt>
                <c:pt idx="213">
                  <c:v>81.441994635095469</c:v>
                </c:pt>
                <c:pt idx="214">
                  <c:v>80.643238595501899</c:v>
                </c:pt>
                <c:pt idx="215">
                  <c:v>80.952266397938359</c:v>
                </c:pt>
                <c:pt idx="216">
                  <c:v>80.130363249876936</c:v>
                </c:pt>
                <c:pt idx="217">
                  <c:v>79.191790637614602</c:v>
                </c:pt>
                <c:pt idx="218">
                  <c:v>79.445902238907124</c:v>
                </c:pt>
                <c:pt idx="219">
                  <c:v>79.48717052625986</c:v>
                </c:pt>
                <c:pt idx="220">
                  <c:v>79.300439432396843</c:v>
                </c:pt>
                <c:pt idx="221">
                  <c:v>79.25377672022978</c:v>
                </c:pt>
                <c:pt idx="222">
                  <c:v>79.367332000373366</c:v>
                </c:pt>
                <c:pt idx="223">
                  <c:v>78.369526621733044</c:v>
                </c:pt>
                <c:pt idx="224">
                  <c:v>78.245539135339072</c:v>
                </c:pt>
                <c:pt idx="225">
                  <c:v>78.562275300072429</c:v>
                </c:pt>
                <c:pt idx="226">
                  <c:v>78.335511234461222</c:v>
                </c:pt>
                <c:pt idx="227">
                  <c:v>79.873253992762926</c:v>
                </c:pt>
                <c:pt idx="228">
                  <c:v>78.534427283440706</c:v>
                </c:pt>
                <c:pt idx="229">
                  <c:v>77.676023500752308</c:v>
                </c:pt>
                <c:pt idx="230">
                  <c:v>78.696966754519067</c:v>
                </c:pt>
                <c:pt idx="231">
                  <c:v>78.4969281707574</c:v>
                </c:pt>
                <c:pt idx="232">
                  <c:v>79.207381165635255</c:v>
                </c:pt>
                <c:pt idx="233">
                  <c:v>79.371134589074018</c:v>
                </c:pt>
                <c:pt idx="234">
                  <c:v>78.534709551361416</c:v>
                </c:pt>
                <c:pt idx="235">
                  <c:v>78.277517654860233</c:v>
                </c:pt>
                <c:pt idx="236">
                  <c:v>77.681207963667433</c:v>
                </c:pt>
                <c:pt idx="237">
                  <c:v>78.478953257239425</c:v>
                </c:pt>
                <c:pt idx="238">
                  <c:v>78.316732026770467</c:v>
                </c:pt>
                <c:pt idx="239">
                  <c:v>78.977468653432595</c:v>
                </c:pt>
                <c:pt idx="240">
                  <c:v>78.925902674184073</c:v>
                </c:pt>
                <c:pt idx="241">
                  <c:v>79.20514987185696</c:v>
                </c:pt>
                <c:pt idx="242">
                  <c:v>78.351779406542946</c:v>
                </c:pt>
                <c:pt idx="243">
                  <c:v>77.70548600404328</c:v>
                </c:pt>
                <c:pt idx="244">
                  <c:v>77.215563719541734</c:v>
                </c:pt>
                <c:pt idx="245">
                  <c:v>77.249570453182741</c:v>
                </c:pt>
                <c:pt idx="246">
                  <c:v>76.153801441972604</c:v>
                </c:pt>
                <c:pt idx="247">
                  <c:v>75.671154811984621</c:v>
                </c:pt>
                <c:pt idx="248">
                  <c:v>76.417259088186228</c:v>
                </c:pt>
                <c:pt idx="249">
                  <c:v>76.699542763994856</c:v>
                </c:pt>
                <c:pt idx="250">
                  <c:v>76.28560595311825</c:v>
                </c:pt>
                <c:pt idx="251">
                  <c:v>76.848749434478123</c:v>
                </c:pt>
                <c:pt idx="252">
                  <c:v>76.735717061465451</c:v>
                </c:pt>
                <c:pt idx="253">
                  <c:v>76.762420284438846</c:v>
                </c:pt>
                <c:pt idx="254">
                  <c:v>77.9880884339169</c:v>
                </c:pt>
                <c:pt idx="255">
                  <c:v>78.693524424638554</c:v>
                </c:pt>
                <c:pt idx="256">
                  <c:v>78.275540993668727</c:v>
                </c:pt>
                <c:pt idx="257">
                  <c:v>78.364160419887241</c:v>
                </c:pt>
                <c:pt idx="258">
                  <c:v>78.294131888961303</c:v>
                </c:pt>
                <c:pt idx="259">
                  <c:v>77.577884328318518</c:v>
                </c:pt>
                <c:pt idx="260">
                  <c:v>77.120101512984647</c:v>
                </c:pt>
                <c:pt idx="261">
                  <c:v>76.057973754485644</c:v>
                </c:pt>
                <c:pt idx="262">
                  <c:v>76.791658475559672</c:v>
                </c:pt>
                <c:pt idx="263">
                  <c:v>77.212893165495856</c:v>
                </c:pt>
                <c:pt idx="264">
                  <c:v>77.161792712942926</c:v>
                </c:pt>
                <c:pt idx="265">
                  <c:v>77.179276495919652</c:v>
                </c:pt>
                <c:pt idx="266">
                  <c:v>78.198583217629903</c:v>
                </c:pt>
                <c:pt idx="267">
                  <c:v>79.393304975882018</c:v>
                </c:pt>
                <c:pt idx="268">
                  <c:v>79.150762421407705</c:v>
                </c:pt>
                <c:pt idx="269">
                  <c:v>78.96893855076857</c:v>
                </c:pt>
                <c:pt idx="270">
                  <c:v>78.962430554792533</c:v>
                </c:pt>
                <c:pt idx="271">
                  <c:v>79.111050797837351</c:v>
                </c:pt>
                <c:pt idx="272">
                  <c:v>78.837432959860124</c:v>
                </c:pt>
                <c:pt idx="273">
                  <c:v>79.234110300116939</c:v>
                </c:pt>
                <c:pt idx="274">
                  <c:v>79.258393209810166</c:v>
                </c:pt>
                <c:pt idx="275">
                  <c:v>79.717375284558145</c:v>
                </c:pt>
                <c:pt idx="276">
                  <c:v>79.204493076070648</c:v>
                </c:pt>
                <c:pt idx="277">
                  <c:v>79.815108583315578</c:v>
                </c:pt>
                <c:pt idx="278">
                  <c:v>79.093072205952907</c:v>
                </c:pt>
                <c:pt idx="279">
                  <c:v>80.113720182341993</c:v>
                </c:pt>
                <c:pt idx="280">
                  <c:v>79.969792399002827</c:v>
                </c:pt>
                <c:pt idx="281">
                  <c:v>79.922260884291163</c:v>
                </c:pt>
                <c:pt idx="282">
                  <c:v>81.673541786560634</c:v>
                </c:pt>
                <c:pt idx="283">
                  <c:v>81.380947983356251</c:v>
                </c:pt>
                <c:pt idx="284">
                  <c:v>81.541308706554517</c:v>
                </c:pt>
                <c:pt idx="285">
                  <c:v>80.982095284091628</c:v>
                </c:pt>
                <c:pt idx="286">
                  <c:v>80.226425388560301</c:v>
                </c:pt>
                <c:pt idx="287">
                  <c:v>80.549651496322781</c:v>
                </c:pt>
                <c:pt idx="288">
                  <c:v>79.107322708035852</c:v>
                </c:pt>
                <c:pt idx="289">
                  <c:v>79.077885342970688</c:v>
                </c:pt>
                <c:pt idx="290">
                  <c:v>78.292878131101432</c:v>
                </c:pt>
                <c:pt idx="291">
                  <c:v>78.544329101029248</c:v>
                </c:pt>
                <c:pt idx="292">
                  <c:v>79.919201058514204</c:v>
                </c:pt>
                <c:pt idx="293">
                  <c:v>78.788621109760157</c:v>
                </c:pt>
                <c:pt idx="294">
                  <c:v>78.880699416458882</c:v>
                </c:pt>
                <c:pt idx="295">
                  <c:v>79.386411094342137</c:v>
                </c:pt>
                <c:pt idx="296">
                  <c:v>79.119135834946789</c:v>
                </c:pt>
                <c:pt idx="297">
                  <c:v>79.81771296206631</c:v>
                </c:pt>
                <c:pt idx="298">
                  <c:v>80.233869019001716</c:v>
                </c:pt>
                <c:pt idx="299">
                  <c:v>81.367364911786979</c:v>
                </c:pt>
                <c:pt idx="300">
                  <c:v>81.105288457081613</c:v>
                </c:pt>
                <c:pt idx="301">
                  <c:v>80.816975051786955</c:v>
                </c:pt>
                <c:pt idx="302">
                  <c:v>80.532989370560145</c:v>
                </c:pt>
                <c:pt idx="303">
                  <c:v>80.954369389638046</c:v>
                </c:pt>
                <c:pt idx="304">
                  <c:v>80.564415994910192</c:v>
                </c:pt>
                <c:pt idx="305">
                  <c:v>81.477012786936598</c:v>
                </c:pt>
                <c:pt idx="306">
                  <c:v>81.043706820811607</c:v>
                </c:pt>
                <c:pt idx="307">
                  <c:v>80.841365278229702</c:v>
                </c:pt>
                <c:pt idx="308">
                  <c:v>80.369823025757853</c:v>
                </c:pt>
                <c:pt idx="309">
                  <c:v>81.698051442358718</c:v>
                </c:pt>
                <c:pt idx="310">
                  <c:v>81.32387063513292</c:v>
                </c:pt>
                <c:pt idx="311">
                  <c:v>81.8930766555589</c:v>
                </c:pt>
                <c:pt idx="312">
                  <c:v>81.160411080846558</c:v>
                </c:pt>
                <c:pt idx="313">
                  <c:v>80.424826905836994</c:v>
                </c:pt>
                <c:pt idx="314">
                  <c:v>80.696020294836345</c:v>
                </c:pt>
                <c:pt idx="315">
                  <c:v>81.461267922741087</c:v>
                </c:pt>
                <c:pt idx="316">
                  <c:v>81.697551090805433</c:v>
                </c:pt>
                <c:pt idx="317">
                  <c:v>82.199991755378022</c:v>
                </c:pt>
                <c:pt idx="318">
                  <c:v>82.384723121455849</c:v>
                </c:pt>
                <c:pt idx="319">
                  <c:v>83.143489718352541</c:v>
                </c:pt>
                <c:pt idx="320">
                  <c:v>80.934649408568376</c:v>
                </c:pt>
                <c:pt idx="321">
                  <c:v>80.695124113899055</c:v>
                </c:pt>
                <c:pt idx="322">
                  <c:v>82.318492899126895</c:v>
                </c:pt>
                <c:pt idx="323">
                  <c:v>82.319200253632431</c:v>
                </c:pt>
                <c:pt idx="324">
                  <c:v>81.994285751043805</c:v>
                </c:pt>
                <c:pt idx="325">
                  <c:v>81.928633086202268</c:v>
                </c:pt>
                <c:pt idx="326">
                  <c:v>81.337018687365358</c:v>
                </c:pt>
                <c:pt idx="327">
                  <c:v>81.086531909941016</c:v>
                </c:pt>
                <c:pt idx="328">
                  <c:v>82.319090832713513</c:v>
                </c:pt>
                <c:pt idx="329">
                  <c:v>81.556435184203124</c:v>
                </c:pt>
                <c:pt idx="330">
                  <c:v>82.172721635516538</c:v>
                </c:pt>
                <c:pt idx="331">
                  <c:v>82.922696719113659</c:v>
                </c:pt>
                <c:pt idx="332">
                  <c:v>83.473444102893907</c:v>
                </c:pt>
                <c:pt idx="333">
                  <c:v>82.976524232441207</c:v>
                </c:pt>
                <c:pt idx="334">
                  <c:v>82.75076005575896</c:v>
                </c:pt>
                <c:pt idx="335">
                  <c:v>82.670500768126672</c:v>
                </c:pt>
                <c:pt idx="336">
                  <c:v>82.456546443473002</c:v>
                </c:pt>
                <c:pt idx="337">
                  <c:v>81.835075334428893</c:v>
                </c:pt>
                <c:pt idx="338">
                  <c:v>80.566900606159038</c:v>
                </c:pt>
                <c:pt idx="339">
                  <c:v>81.032014084703889</c:v>
                </c:pt>
                <c:pt idx="340">
                  <c:v>80.548531455299084</c:v>
                </c:pt>
                <c:pt idx="341">
                  <c:v>80.915938918465415</c:v>
                </c:pt>
                <c:pt idx="342">
                  <c:v>80.937293598221117</c:v>
                </c:pt>
                <c:pt idx="343">
                  <c:v>80.046914208228756</c:v>
                </c:pt>
                <c:pt idx="344">
                  <c:v>80.312098084704573</c:v>
                </c:pt>
                <c:pt idx="345">
                  <c:v>80.84272474601309</c:v>
                </c:pt>
                <c:pt idx="346">
                  <c:v>80.005386715502155</c:v>
                </c:pt>
                <c:pt idx="347">
                  <c:v>80.371298720910772</c:v>
                </c:pt>
                <c:pt idx="348">
                  <c:v>80.874483166218042</c:v>
                </c:pt>
                <c:pt idx="349">
                  <c:v>81.627854741464205</c:v>
                </c:pt>
                <c:pt idx="350">
                  <c:v>81.968929654699053</c:v>
                </c:pt>
                <c:pt idx="351">
                  <c:v>81.430476794082139</c:v>
                </c:pt>
                <c:pt idx="352">
                  <c:v>81.728272046328655</c:v>
                </c:pt>
                <c:pt idx="353">
                  <c:v>82.431184220106346</c:v>
                </c:pt>
                <c:pt idx="354">
                  <c:v>83.091704735132794</c:v>
                </c:pt>
                <c:pt idx="355">
                  <c:v>82.340475959155469</c:v>
                </c:pt>
                <c:pt idx="356">
                  <c:v>82.901193734253411</c:v>
                </c:pt>
                <c:pt idx="357">
                  <c:v>82.838488340863904</c:v>
                </c:pt>
                <c:pt idx="358">
                  <c:v>83.60296482273435</c:v>
                </c:pt>
                <c:pt idx="359">
                  <c:v>83.157591844658711</c:v>
                </c:pt>
                <c:pt idx="360">
                  <c:v>83.498638837842023</c:v>
                </c:pt>
                <c:pt idx="361">
                  <c:v>83.272316353054705</c:v>
                </c:pt>
                <c:pt idx="362">
                  <c:v>82.500684528136162</c:v>
                </c:pt>
                <c:pt idx="363">
                  <c:v>82.507775086274805</c:v>
                </c:pt>
                <c:pt idx="364">
                  <c:v>83.160677756777702</c:v>
                </c:pt>
                <c:pt idx="365">
                  <c:v>83.757700344176641</c:v>
                </c:pt>
                <c:pt idx="366">
                  <c:v>82.665747087371329</c:v>
                </c:pt>
                <c:pt idx="367">
                  <c:v>81.924542241168183</c:v>
                </c:pt>
                <c:pt idx="368">
                  <c:v>81.700458341284204</c:v>
                </c:pt>
                <c:pt idx="369">
                  <c:v>81.748597256518451</c:v>
                </c:pt>
                <c:pt idx="370">
                  <c:v>82.580001224499853</c:v>
                </c:pt>
                <c:pt idx="371">
                  <c:v>82.603800044743082</c:v>
                </c:pt>
                <c:pt idx="372">
                  <c:v>83.198569164393675</c:v>
                </c:pt>
                <c:pt idx="373">
                  <c:v>82.742401913536938</c:v>
                </c:pt>
                <c:pt idx="374">
                  <c:v>80.976038449574304</c:v>
                </c:pt>
                <c:pt idx="375">
                  <c:v>82.579466526406108</c:v>
                </c:pt>
                <c:pt idx="376">
                  <c:v>82.23027690550569</c:v>
                </c:pt>
                <c:pt idx="377">
                  <c:v>81.423350169081331</c:v>
                </c:pt>
                <c:pt idx="378">
                  <c:v>79.984980725479758</c:v>
                </c:pt>
                <c:pt idx="379">
                  <c:v>79.787117667148522</c:v>
                </c:pt>
                <c:pt idx="380">
                  <c:v>79.903290566619759</c:v>
                </c:pt>
                <c:pt idx="381">
                  <c:v>78.992546380769397</c:v>
                </c:pt>
                <c:pt idx="382">
                  <c:v>78.875942038698668</c:v>
                </c:pt>
                <c:pt idx="383">
                  <c:v>78.903670511333559</c:v>
                </c:pt>
                <c:pt idx="384">
                  <c:v>78.199349390465514</c:v>
                </c:pt>
                <c:pt idx="385">
                  <c:v>78.278705702389985</c:v>
                </c:pt>
                <c:pt idx="386">
                  <c:v>78.290194774729684</c:v>
                </c:pt>
                <c:pt idx="387">
                  <c:v>79.094549747567058</c:v>
                </c:pt>
                <c:pt idx="388">
                  <c:v>78.549399766360466</c:v>
                </c:pt>
                <c:pt idx="389">
                  <c:v>78.660128805038596</c:v>
                </c:pt>
                <c:pt idx="390">
                  <c:v>78.870165644282991</c:v>
                </c:pt>
                <c:pt idx="391">
                  <c:v>79.746115841705659</c:v>
                </c:pt>
                <c:pt idx="392">
                  <c:v>79.861351500690375</c:v>
                </c:pt>
                <c:pt idx="393">
                  <c:v>80.109254492785809</c:v>
                </c:pt>
                <c:pt idx="394">
                  <c:v>79.900885527339511</c:v>
                </c:pt>
                <c:pt idx="395">
                  <c:v>81.129442083157386</c:v>
                </c:pt>
                <c:pt idx="396">
                  <c:v>81.034676846664425</c:v>
                </c:pt>
                <c:pt idx="397">
                  <c:v>80.3459794378482</c:v>
                </c:pt>
                <c:pt idx="398">
                  <c:v>79.641399227210599</c:v>
                </c:pt>
                <c:pt idx="399">
                  <c:v>79.360934289274027</c:v>
                </c:pt>
                <c:pt idx="400">
                  <c:v>80.75943087782008</c:v>
                </c:pt>
                <c:pt idx="401">
                  <c:v>80.479129813954188</c:v>
                </c:pt>
                <c:pt idx="402">
                  <c:v>81.200141542726769</c:v>
                </c:pt>
                <c:pt idx="403">
                  <c:v>80.608185740925052</c:v>
                </c:pt>
                <c:pt idx="404">
                  <c:v>80.839474927733121</c:v>
                </c:pt>
                <c:pt idx="405">
                  <c:v>80.338673702859111</c:v>
                </c:pt>
                <c:pt idx="406">
                  <c:v>80.688041522688536</c:v>
                </c:pt>
                <c:pt idx="407">
                  <c:v>79.037516858727699</c:v>
                </c:pt>
                <c:pt idx="408">
                  <c:v>80.118842967244333</c:v>
                </c:pt>
                <c:pt idx="409">
                  <c:v>81.185886277893871</c:v>
                </c:pt>
                <c:pt idx="410">
                  <c:v>81.150849068528558</c:v>
                </c:pt>
                <c:pt idx="411">
                  <c:v>82.036009826025605</c:v>
                </c:pt>
                <c:pt idx="412">
                  <c:v>81.809813978653239</c:v>
                </c:pt>
                <c:pt idx="413">
                  <c:v>82.549729515639356</c:v>
                </c:pt>
                <c:pt idx="414">
                  <c:v>84.914515193123194</c:v>
                </c:pt>
                <c:pt idx="415">
                  <c:v>83.727892353995031</c:v>
                </c:pt>
                <c:pt idx="416">
                  <c:v>85.393844293385541</c:v>
                </c:pt>
                <c:pt idx="417">
                  <c:v>84.801375707232751</c:v>
                </c:pt>
                <c:pt idx="418">
                  <c:v>86.161484540291369</c:v>
                </c:pt>
                <c:pt idx="419">
                  <c:v>85.304647351975717</c:v>
                </c:pt>
                <c:pt idx="420">
                  <c:v>85.510751547288919</c:v>
                </c:pt>
                <c:pt idx="421">
                  <c:v>86.156480358559264</c:v>
                </c:pt>
                <c:pt idx="422">
                  <c:v>85.200024653156831</c:v>
                </c:pt>
                <c:pt idx="423">
                  <c:v>83.557914408777265</c:v>
                </c:pt>
                <c:pt idx="424">
                  <c:v>83.853968779734032</c:v>
                </c:pt>
                <c:pt idx="425">
                  <c:v>83.869411837324819</c:v>
                </c:pt>
                <c:pt idx="426">
                  <c:v>84.621200563692881</c:v>
                </c:pt>
                <c:pt idx="427">
                  <c:v>85.960069349991883</c:v>
                </c:pt>
                <c:pt idx="428">
                  <c:v>86.658330700199699</c:v>
                </c:pt>
                <c:pt idx="429">
                  <c:v>87.309666685408601</c:v>
                </c:pt>
                <c:pt idx="430">
                  <c:v>86.629148541687599</c:v>
                </c:pt>
                <c:pt idx="431">
                  <c:v>87.893946905271008</c:v>
                </c:pt>
                <c:pt idx="432">
                  <c:v>87.083541506896637</c:v>
                </c:pt>
                <c:pt idx="433">
                  <c:v>87.083920872140638</c:v>
                </c:pt>
                <c:pt idx="434">
                  <c:v>85.928424942428521</c:v>
                </c:pt>
                <c:pt idx="435">
                  <c:v>86.613183494786625</c:v>
                </c:pt>
                <c:pt idx="436">
                  <c:v>87.617232053909746</c:v>
                </c:pt>
                <c:pt idx="437">
                  <c:v>87.992085664194278</c:v>
                </c:pt>
                <c:pt idx="438">
                  <c:v>86.339487809465822</c:v>
                </c:pt>
                <c:pt idx="439">
                  <c:v>87.055001701712442</c:v>
                </c:pt>
                <c:pt idx="440">
                  <c:v>87.366801674981687</c:v>
                </c:pt>
                <c:pt idx="441">
                  <c:v>88.001509849935033</c:v>
                </c:pt>
                <c:pt idx="442">
                  <c:v>87.139893012391411</c:v>
                </c:pt>
                <c:pt idx="443">
                  <c:v>86.113982234737364</c:v>
                </c:pt>
                <c:pt idx="444">
                  <c:v>86.364008675125902</c:v>
                </c:pt>
                <c:pt idx="445">
                  <c:v>86.76520629006977</c:v>
                </c:pt>
                <c:pt idx="446">
                  <c:v>86.728136611744134</c:v>
                </c:pt>
                <c:pt idx="447">
                  <c:v>87.214265090665137</c:v>
                </c:pt>
                <c:pt idx="448">
                  <c:v>86.37669427993616</c:v>
                </c:pt>
                <c:pt idx="449">
                  <c:v>86.445795934443311</c:v>
                </c:pt>
                <c:pt idx="450">
                  <c:v>85.27947931962963</c:v>
                </c:pt>
                <c:pt idx="451">
                  <c:v>84.393957298578357</c:v>
                </c:pt>
                <c:pt idx="452">
                  <c:v>84.876670656234054</c:v>
                </c:pt>
                <c:pt idx="453">
                  <c:v>85.911813601595867</c:v>
                </c:pt>
                <c:pt idx="454">
                  <c:v>86.498385592207484</c:v>
                </c:pt>
                <c:pt idx="455">
                  <c:v>86.370046467071219</c:v>
                </c:pt>
                <c:pt idx="456">
                  <c:v>87.346426295059928</c:v>
                </c:pt>
                <c:pt idx="457">
                  <c:v>86.498761463171078</c:v>
                </c:pt>
                <c:pt idx="458">
                  <c:v>84.808845811923604</c:v>
                </c:pt>
                <c:pt idx="459">
                  <c:v>85.316768660704199</c:v>
                </c:pt>
                <c:pt idx="460">
                  <c:v>85.005213946672711</c:v>
                </c:pt>
                <c:pt idx="461">
                  <c:v>85.245694038338485</c:v>
                </c:pt>
                <c:pt idx="462">
                  <c:v>85.161911561042274</c:v>
                </c:pt>
                <c:pt idx="463">
                  <c:v>84.050304536809165</c:v>
                </c:pt>
                <c:pt idx="464">
                  <c:v>83.663458665716306</c:v>
                </c:pt>
                <c:pt idx="465">
                  <c:v>83.912100232948006</c:v>
                </c:pt>
                <c:pt idx="466">
                  <c:v>82.575212948933753</c:v>
                </c:pt>
                <c:pt idx="467">
                  <c:v>83.068610216721282</c:v>
                </c:pt>
                <c:pt idx="468">
                  <c:v>82.004751115383499</c:v>
                </c:pt>
                <c:pt idx="469">
                  <c:v>83.036753820023748</c:v>
                </c:pt>
                <c:pt idx="470">
                  <c:v>83.074200923940936</c:v>
                </c:pt>
                <c:pt idx="471">
                  <c:v>82.384935058924157</c:v>
                </c:pt>
                <c:pt idx="472">
                  <c:v>81.036249391941297</c:v>
                </c:pt>
                <c:pt idx="473">
                  <c:v>80.968653239545432</c:v>
                </c:pt>
                <c:pt idx="474">
                  <c:v>81.209802835524897</c:v>
                </c:pt>
                <c:pt idx="475">
                  <c:v>80.619328728141269</c:v>
                </c:pt>
                <c:pt idx="476">
                  <c:v>80.712506207668795</c:v>
                </c:pt>
                <c:pt idx="477">
                  <c:v>81.112365335189949</c:v>
                </c:pt>
                <c:pt idx="478">
                  <c:v>80.223564688419145</c:v>
                </c:pt>
                <c:pt idx="479">
                  <c:v>80.271979754876511</c:v>
                </c:pt>
                <c:pt idx="480">
                  <c:v>80.774022060618265</c:v>
                </c:pt>
                <c:pt idx="481">
                  <c:v>81.913588806839854</c:v>
                </c:pt>
                <c:pt idx="482">
                  <c:v>82.010683558299831</c:v>
                </c:pt>
                <c:pt idx="483">
                  <c:v>82.01060575317058</c:v>
                </c:pt>
                <c:pt idx="484">
                  <c:v>81.96837731463566</c:v>
                </c:pt>
                <c:pt idx="485">
                  <c:v>81.807238252487593</c:v>
                </c:pt>
                <c:pt idx="486">
                  <c:v>81.382924159912562</c:v>
                </c:pt>
                <c:pt idx="487">
                  <c:v>83.897688124568262</c:v>
                </c:pt>
                <c:pt idx="488">
                  <c:v>83.107269541173309</c:v>
                </c:pt>
                <c:pt idx="489">
                  <c:v>83.109072274363299</c:v>
                </c:pt>
                <c:pt idx="490">
                  <c:v>82.938742534401641</c:v>
                </c:pt>
                <c:pt idx="491">
                  <c:v>81.336390421319194</c:v>
                </c:pt>
                <c:pt idx="492">
                  <c:v>81.197714294965522</c:v>
                </c:pt>
                <c:pt idx="493">
                  <c:v>80.441340335351441</c:v>
                </c:pt>
                <c:pt idx="494">
                  <c:v>79.776359309952653</c:v>
                </c:pt>
                <c:pt idx="495">
                  <c:v>80.345774757454777</c:v>
                </c:pt>
                <c:pt idx="496">
                  <c:v>79.650997785291423</c:v>
                </c:pt>
                <c:pt idx="497">
                  <c:v>78.494526903727817</c:v>
                </c:pt>
                <c:pt idx="498">
                  <c:v>78.921849020342933</c:v>
                </c:pt>
                <c:pt idx="499">
                  <c:v>79.269085369458111</c:v>
                </c:pt>
                <c:pt idx="500">
                  <c:v>78.227069760709597</c:v>
                </c:pt>
                <c:pt idx="501">
                  <c:v>78.202521933015291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48-4410-A477-98955C5D8232}"/>
            </c:ext>
          </c:extLst>
        </c:ser>
        <c:ser>
          <c:idx val="2"/>
          <c:order val="2"/>
          <c:tx>
            <c:v>Esperanza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MME!$B$2:$B$503</c:f>
              <c:numCache>
                <c:formatCode>m/d/yyyy</c:formatCode>
                <c:ptCount val="502"/>
                <c:pt idx="0">
                  <c:v>44707</c:v>
                </c:pt>
                <c:pt idx="1">
                  <c:v>44708</c:v>
                </c:pt>
                <c:pt idx="2">
                  <c:v>44712</c:v>
                </c:pt>
                <c:pt idx="3">
                  <c:v>44713</c:v>
                </c:pt>
                <c:pt idx="4">
                  <c:v>44714</c:v>
                </c:pt>
                <c:pt idx="5">
                  <c:v>44715</c:v>
                </c:pt>
                <c:pt idx="6">
                  <c:v>44718</c:v>
                </c:pt>
                <c:pt idx="7">
                  <c:v>44719</c:v>
                </c:pt>
                <c:pt idx="8">
                  <c:v>44720</c:v>
                </c:pt>
                <c:pt idx="9">
                  <c:v>44721</c:v>
                </c:pt>
                <c:pt idx="10">
                  <c:v>44722</c:v>
                </c:pt>
                <c:pt idx="11">
                  <c:v>44725</c:v>
                </c:pt>
                <c:pt idx="12">
                  <c:v>44726</c:v>
                </c:pt>
                <c:pt idx="13">
                  <c:v>44727</c:v>
                </c:pt>
                <c:pt idx="14">
                  <c:v>44728</c:v>
                </c:pt>
                <c:pt idx="15">
                  <c:v>44729</c:v>
                </c:pt>
                <c:pt idx="16">
                  <c:v>44733</c:v>
                </c:pt>
                <c:pt idx="17">
                  <c:v>44734</c:v>
                </c:pt>
                <c:pt idx="18">
                  <c:v>44735</c:v>
                </c:pt>
                <c:pt idx="19">
                  <c:v>44736</c:v>
                </c:pt>
                <c:pt idx="20">
                  <c:v>44739</c:v>
                </c:pt>
                <c:pt idx="21">
                  <c:v>44740</c:v>
                </c:pt>
                <c:pt idx="22">
                  <c:v>44741</c:v>
                </c:pt>
                <c:pt idx="23">
                  <c:v>44742</c:v>
                </c:pt>
                <c:pt idx="24">
                  <c:v>44743</c:v>
                </c:pt>
                <c:pt idx="25">
                  <c:v>44747</c:v>
                </c:pt>
                <c:pt idx="26">
                  <c:v>44748</c:v>
                </c:pt>
                <c:pt idx="27">
                  <c:v>44749</c:v>
                </c:pt>
                <c:pt idx="28">
                  <c:v>44750</c:v>
                </c:pt>
                <c:pt idx="29">
                  <c:v>44753</c:v>
                </c:pt>
                <c:pt idx="30">
                  <c:v>44754</c:v>
                </c:pt>
                <c:pt idx="31">
                  <c:v>44755</c:v>
                </c:pt>
                <c:pt idx="32">
                  <c:v>44756</c:v>
                </c:pt>
                <c:pt idx="33">
                  <c:v>44757</c:v>
                </c:pt>
                <c:pt idx="34">
                  <c:v>44760</c:v>
                </c:pt>
                <c:pt idx="35">
                  <c:v>44761</c:v>
                </c:pt>
                <c:pt idx="36">
                  <c:v>44762</c:v>
                </c:pt>
                <c:pt idx="37">
                  <c:v>44763</c:v>
                </c:pt>
                <c:pt idx="38">
                  <c:v>44764</c:v>
                </c:pt>
                <c:pt idx="39">
                  <c:v>44767</c:v>
                </c:pt>
                <c:pt idx="40">
                  <c:v>44768</c:v>
                </c:pt>
                <c:pt idx="41">
                  <c:v>44769</c:v>
                </c:pt>
                <c:pt idx="42">
                  <c:v>44770</c:v>
                </c:pt>
                <c:pt idx="43">
                  <c:v>44771</c:v>
                </c:pt>
                <c:pt idx="44">
                  <c:v>44774</c:v>
                </c:pt>
                <c:pt idx="45">
                  <c:v>44775</c:v>
                </c:pt>
                <c:pt idx="46">
                  <c:v>44776</c:v>
                </c:pt>
                <c:pt idx="47">
                  <c:v>44777</c:v>
                </c:pt>
                <c:pt idx="48">
                  <c:v>44778</c:v>
                </c:pt>
                <c:pt idx="49">
                  <c:v>44781</c:v>
                </c:pt>
                <c:pt idx="50">
                  <c:v>44782</c:v>
                </c:pt>
                <c:pt idx="51">
                  <c:v>44783</c:v>
                </c:pt>
                <c:pt idx="52">
                  <c:v>44784</c:v>
                </c:pt>
                <c:pt idx="53">
                  <c:v>44785</c:v>
                </c:pt>
                <c:pt idx="54">
                  <c:v>44788</c:v>
                </c:pt>
                <c:pt idx="55">
                  <c:v>44789</c:v>
                </c:pt>
                <c:pt idx="56">
                  <c:v>44790</c:v>
                </c:pt>
                <c:pt idx="57">
                  <c:v>44791</c:v>
                </c:pt>
                <c:pt idx="58">
                  <c:v>44792</c:v>
                </c:pt>
                <c:pt idx="59">
                  <c:v>44795</c:v>
                </c:pt>
                <c:pt idx="60">
                  <c:v>44796</c:v>
                </c:pt>
                <c:pt idx="61">
                  <c:v>44797</c:v>
                </c:pt>
                <c:pt idx="62">
                  <c:v>44798</c:v>
                </c:pt>
                <c:pt idx="63">
                  <c:v>44799</c:v>
                </c:pt>
                <c:pt idx="64">
                  <c:v>44802</c:v>
                </c:pt>
                <c:pt idx="65">
                  <c:v>44803</c:v>
                </c:pt>
                <c:pt idx="66">
                  <c:v>44804</c:v>
                </c:pt>
                <c:pt idx="67">
                  <c:v>44805</c:v>
                </c:pt>
                <c:pt idx="68">
                  <c:v>44806</c:v>
                </c:pt>
                <c:pt idx="69">
                  <c:v>44810</c:v>
                </c:pt>
                <c:pt idx="70">
                  <c:v>44811</c:v>
                </c:pt>
                <c:pt idx="71">
                  <c:v>44812</c:v>
                </c:pt>
                <c:pt idx="72">
                  <c:v>44813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44830</c:v>
                </c:pt>
                <c:pt idx="84">
                  <c:v>44831</c:v>
                </c:pt>
                <c:pt idx="85">
                  <c:v>44832</c:v>
                </c:pt>
                <c:pt idx="86">
                  <c:v>44833</c:v>
                </c:pt>
                <c:pt idx="87">
                  <c:v>44834</c:v>
                </c:pt>
                <c:pt idx="88">
                  <c:v>44837</c:v>
                </c:pt>
                <c:pt idx="89">
                  <c:v>44838</c:v>
                </c:pt>
                <c:pt idx="90">
                  <c:v>44839</c:v>
                </c:pt>
                <c:pt idx="91">
                  <c:v>44840</c:v>
                </c:pt>
                <c:pt idx="92">
                  <c:v>44841</c:v>
                </c:pt>
                <c:pt idx="93">
                  <c:v>44844</c:v>
                </c:pt>
                <c:pt idx="94">
                  <c:v>44845</c:v>
                </c:pt>
                <c:pt idx="95">
                  <c:v>44846</c:v>
                </c:pt>
                <c:pt idx="96">
                  <c:v>44847</c:v>
                </c:pt>
                <c:pt idx="97">
                  <c:v>44848</c:v>
                </c:pt>
                <c:pt idx="98">
                  <c:v>44851</c:v>
                </c:pt>
                <c:pt idx="99">
                  <c:v>44852</c:v>
                </c:pt>
                <c:pt idx="100">
                  <c:v>44853</c:v>
                </c:pt>
                <c:pt idx="101">
                  <c:v>44854</c:v>
                </c:pt>
                <c:pt idx="102">
                  <c:v>44855</c:v>
                </c:pt>
                <c:pt idx="103">
                  <c:v>44858</c:v>
                </c:pt>
                <c:pt idx="104">
                  <c:v>44859</c:v>
                </c:pt>
                <c:pt idx="105">
                  <c:v>44860</c:v>
                </c:pt>
                <c:pt idx="106">
                  <c:v>44861</c:v>
                </c:pt>
                <c:pt idx="107">
                  <c:v>44862</c:v>
                </c:pt>
                <c:pt idx="108">
                  <c:v>44865</c:v>
                </c:pt>
                <c:pt idx="109">
                  <c:v>44866</c:v>
                </c:pt>
                <c:pt idx="110">
                  <c:v>44867</c:v>
                </c:pt>
                <c:pt idx="111">
                  <c:v>44868</c:v>
                </c:pt>
                <c:pt idx="112">
                  <c:v>44869</c:v>
                </c:pt>
                <c:pt idx="113">
                  <c:v>44872</c:v>
                </c:pt>
                <c:pt idx="114">
                  <c:v>44873</c:v>
                </c:pt>
                <c:pt idx="115">
                  <c:v>44874</c:v>
                </c:pt>
                <c:pt idx="116">
                  <c:v>44875</c:v>
                </c:pt>
                <c:pt idx="117">
                  <c:v>44876</c:v>
                </c:pt>
                <c:pt idx="118">
                  <c:v>44879</c:v>
                </c:pt>
                <c:pt idx="119">
                  <c:v>44880</c:v>
                </c:pt>
                <c:pt idx="120">
                  <c:v>44881</c:v>
                </c:pt>
                <c:pt idx="121">
                  <c:v>44882</c:v>
                </c:pt>
                <c:pt idx="122">
                  <c:v>44883</c:v>
                </c:pt>
                <c:pt idx="123">
                  <c:v>44886</c:v>
                </c:pt>
                <c:pt idx="124">
                  <c:v>44887</c:v>
                </c:pt>
                <c:pt idx="125">
                  <c:v>44888</c:v>
                </c:pt>
                <c:pt idx="126">
                  <c:v>44890</c:v>
                </c:pt>
                <c:pt idx="127">
                  <c:v>44893</c:v>
                </c:pt>
                <c:pt idx="128">
                  <c:v>44894</c:v>
                </c:pt>
                <c:pt idx="129">
                  <c:v>44895</c:v>
                </c:pt>
                <c:pt idx="130">
                  <c:v>44896</c:v>
                </c:pt>
                <c:pt idx="131">
                  <c:v>44897</c:v>
                </c:pt>
                <c:pt idx="132">
                  <c:v>44900</c:v>
                </c:pt>
                <c:pt idx="133">
                  <c:v>44901</c:v>
                </c:pt>
                <c:pt idx="134">
                  <c:v>44902</c:v>
                </c:pt>
                <c:pt idx="135">
                  <c:v>44903</c:v>
                </c:pt>
                <c:pt idx="136">
                  <c:v>44904</c:v>
                </c:pt>
                <c:pt idx="137">
                  <c:v>44907</c:v>
                </c:pt>
                <c:pt idx="138">
                  <c:v>44908</c:v>
                </c:pt>
                <c:pt idx="139">
                  <c:v>44909</c:v>
                </c:pt>
                <c:pt idx="140">
                  <c:v>44910</c:v>
                </c:pt>
                <c:pt idx="141">
                  <c:v>44911</c:v>
                </c:pt>
                <c:pt idx="142">
                  <c:v>44914</c:v>
                </c:pt>
                <c:pt idx="143">
                  <c:v>44915</c:v>
                </c:pt>
                <c:pt idx="144">
                  <c:v>44916</c:v>
                </c:pt>
                <c:pt idx="145">
                  <c:v>44917</c:v>
                </c:pt>
                <c:pt idx="146">
                  <c:v>44918</c:v>
                </c:pt>
                <c:pt idx="147">
                  <c:v>44922</c:v>
                </c:pt>
                <c:pt idx="148">
                  <c:v>44923</c:v>
                </c:pt>
                <c:pt idx="149">
                  <c:v>44924</c:v>
                </c:pt>
                <c:pt idx="150">
                  <c:v>44925</c:v>
                </c:pt>
                <c:pt idx="151">
                  <c:v>44929</c:v>
                </c:pt>
                <c:pt idx="152">
                  <c:v>44930</c:v>
                </c:pt>
                <c:pt idx="153">
                  <c:v>44931</c:v>
                </c:pt>
                <c:pt idx="154">
                  <c:v>44932</c:v>
                </c:pt>
                <c:pt idx="155">
                  <c:v>44935</c:v>
                </c:pt>
                <c:pt idx="156">
                  <c:v>44936</c:v>
                </c:pt>
                <c:pt idx="157">
                  <c:v>44937</c:v>
                </c:pt>
                <c:pt idx="158">
                  <c:v>44938</c:v>
                </c:pt>
                <c:pt idx="159">
                  <c:v>44939</c:v>
                </c:pt>
                <c:pt idx="160">
                  <c:v>44943</c:v>
                </c:pt>
                <c:pt idx="161">
                  <c:v>44944</c:v>
                </c:pt>
                <c:pt idx="162">
                  <c:v>44945</c:v>
                </c:pt>
                <c:pt idx="163">
                  <c:v>44946</c:v>
                </c:pt>
                <c:pt idx="164">
                  <c:v>44949</c:v>
                </c:pt>
                <c:pt idx="165">
                  <c:v>44950</c:v>
                </c:pt>
                <c:pt idx="166">
                  <c:v>44951</c:v>
                </c:pt>
                <c:pt idx="167">
                  <c:v>44952</c:v>
                </c:pt>
                <c:pt idx="168">
                  <c:v>44953</c:v>
                </c:pt>
                <c:pt idx="169">
                  <c:v>44956</c:v>
                </c:pt>
                <c:pt idx="170">
                  <c:v>44957</c:v>
                </c:pt>
                <c:pt idx="171">
                  <c:v>44958</c:v>
                </c:pt>
                <c:pt idx="172">
                  <c:v>44959</c:v>
                </c:pt>
                <c:pt idx="173">
                  <c:v>44960</c:v>
                </c:pt>
                <c:pt idx="174">
                  <c:v>44963</c:v>
                </c:pt>
                <c:pt idx="175">
                  <c:v>44964</c:v>
                </c:pt>
                <c:pt idx="176">
                  <c:v>44965</c:v>
                </c:pt>
                <c:pt idx="177">
                  <c:v>44966</c:v>
                </c:pt>
                <c:pt idx="178">
                  <c:v>44967</c:v>
                </c:pt>
                <c:pt idx="179">
                  <c:v>44970</c:v>
                </c:pt>
                <c:pt idx="180">
                  <c:v>44971</c:v>
                </c:pt>
                <c:pt idx="181">
                  <c:v>44972</c:v>
                </c:pt>
                <c:pt idx="182">
                  <c:v>44973</c:v>
                </c:pt>
                <c:pt idx="183">
                  <c:v>44974</c:v>
                </c:pt>
                <c:pt idx="184">
                  <c:v>44978</c:v>
                </c:pt>
                <c:pt idx="185">
                  <c:v>44979</c:v>
                </c:pt>
                <c:pt idx="186">
                  <c:v>44980</c:v>
                </c:pt>
                <c:pt idx="187">
                  <c:v>44981</c:v>
                </c:pt>
                <c:pt idx="188">
                  <c:v>44984</c:v>
                </c:pt>
                <c:pt idx="189">
                  <c:v>44985</c:v>
                </c:pt>
                <c:pt idx="190">
                  <c:v>44986</c:v>
                </c:pt>
                <c:pt idx="191">
                  <c:v>44987</c:v>
                </c:pt>
                <c:pt idx="192">
                  <c:v>44988</c:v>
                </c:pt>
                <c:pt idx="193">
                  <c:v>44991</c:v>
                </c:pt>
                <c:pt idx="194">
                  <c:v>44992</c:v>
                </c:pt>
                <c:pt idx="195">
                  <c:v>44993</c:v>
                </c:pt>
                <c:pt idx="196">
                  <c:v>44994</c:v>
                </c:pt>
                <c:pt idx="197">
                  <c:v>44995</c:v>
                </c:pt>
                <c:pt idx="198">
                  <c:v>44998</c:v>
                </c:pt>
                <c:pt idx="199">
                  <c:v>44999</c:v>
                </c:pt>
                <c:pt idx="200">
                  <c:v>45000</c:v>
                </c:pt>
                <c:pt idx="201">
                  <c:v>45001</c:v>
                </c:pt>
                <c:pt idx="202">
                  <c:v>45002</c:v>
                </c:pt>
                <c:pt idx="203">
                  <c:v>45005</c:v>
                </c:pt>
                <c:pt idx="204">
                  <c:v>45006</c:v>
                </c:pt>
                <c:pt idx="205">
                  <c:v>45007</c:v>
                </c:pt>
                <c:pt idx="206">
                  <c:v>45008</c:v>
                </c:pt>
                <c:pt idx="207">
                  <c:v>45009</c:v>
                </c:pt>
                <c:pt idx="208">
                  <c:v>45012</c:v>
                </c:pt>
                <c:pt idx="209">
                  <c:v>45013</c:v>
                </c:pt>
                <c:pt idx="210">
                  <c:v>45014</c:v>
                </c:pt>
                <c:pt idx="211">
                  <c:v>45015</c:v>
                </c:pt>
                <c:pt idx="212">
                  <c:v>45016</c:v>
                </c:pt>
                <c:pt idx="213">
                  <c:v>45019</c:v>
                </c:pt>
                <c:pt idx="214">
                  <c:v>45020</c:v>
                </c:pt>
                <c:pt idx="215">
                  <c:v>45021</c:v>
                </c:pt>
                <c:pt idx="216">
                  <c:v>45022</c:v>
                </c:pt>
                <c:pt idx="217">
                  <c:v>45026</c:v>
                </c:pt>
                <c:pt idx="218">
                  <c:v>45027</c:v>
                </c:pt>
                <c:pt idx="219">
                  <c:v>45028</c:v>
                </c:pt>
                <c:pt idx="220">
                  <c:v>45029</c:v>
                </c:pt>
                <c:pt idx="221">
                  <c:v>45030</c:v>
                </c:pt>
                <c:pt idx="222">
                  <c:v>45033</c:v>
                </c:pt>
                <c:pt idx="223">
                  <c:v>45034</c:v>
                </c:pt>
                <c:pt idx="224">
                  <c:v>45035</c:v>
                </c:pt>
                <c:pt idx="225">
                  <c:v>45036</c:v>
                </c:pt>
                <c:pt idx="226">
                  <c:v>45037</c:v>
                </c:pt>
                <c:pt idx="227">
                  <c:v>45040</c:v>
                </c:pt>
                <c:pt idx="228">
                  <c:v>45041</c:v>
                </c:pt>
                <c:pt idx="229">
                  <c:v>45042</c:v>
                </c:pt>
                <c:pt idx="230">
                  <c:v>45043</c:v>
                </c:pt>
                <c:pt idx="231">
                  <c:v>45044</c:v>
                </c:pt>
                <c:pt idx="232">
                  <c:v>45047</c:v>
                </c:pt>
                <c:pt idx="233">
                  <c:v>45048</c:v>
                </c:pt>
                <c:pt idx="234">
                  <c:v>45049</c:v>
                </c:pt>
                <c:pt idx="235">
                  <c:v>45050</c:v>
                </c:pt>
                <c:pt idx="236">
                  <c:v>45051</c:v>
                </c:pt>
                <c:pt idx="237">
                  <c:v>45054</c:v>
                </c:pt>
                <c:pt idx="238">
                  <c:v>45055</c:v>
                </c:pt>
                <c:pt idx="239">
                  <c:v>45056</c:v>
                </c:pt>
                <c:pt idx="240">
                  <c:v>45057</c:v>
                </c:pt>
                <c:pt idx="241">
                  <c:v>45058</c:v>
                </c:pt>
                <c:pt idx="242">
                  <c:v>45061</c:v>
                </c:pt>
                <c:pt idx="243">
                  <c:v>45062</c:v>
                </c:pt>
                <c:pt idx="244">
                  <c:v>45063</c:v>
                </c:pt>
                <c:pt idx="245">
                  <c:v>45064</c:v>
                </c:pt>
                <c:pt idx="246">
                  <c:v>45065</c:v>
                </c:pt>
                <c:pt idx="247">
                  <c:v>45068</c:v>
                </c:pt>
                <c:pt idx="248">
                  <c:v>45069</c:v>
                </c:pt>
                <c:pt idx="249">
                  <c:v>45070</c:v>
                </c:pt>
                <c:pt idx="250">
                  <c:v>45071</c:v>
                </c:pt>
                <c:pt idx="251">
                  <c:v>45072</c:v>
                </c:pt>
                <c:pt idx="252">
                  <c:v>45076</c:v>
                </c:pt>
                <c:pt idx="253">
                  <c:v>45077</c:v>
                </c:pt>
                <c:pt idx="254">
                  <c:v>45078</c:v>
                </c:pt>
                <c:pt idx="255">
                  <c:v>45079</c:v>
                </c:pt>
                <c:pt idx="256">
                  <c:v>45082</c:v>
                </c:pt>
                <c:pt idx="257">
                  <c:v>45083</c:v>
                </c:pt>
                <c:pt idx="258">
                  <c:v>45084</c:v>
                </c:pt>
                <c:pt idx="259">
                  <c:v>45085</c:v>
                </c:pt>
                <c:pt idx="260">
                  <c:v>45086</c:v>
                </c:pt>
                <c:pt idx="261">
                  <c:v>45089</c:v>
                </c:pt>
                <c:pt idx="262">
                  <c:v>45090</c:v>
                </c:pt>
                <c:pt idx="263">
                  <c:v>45091</c:v>
                </c:pt>
                <c:pt idx="264">
                  <c:v>45092</c:v>
                </c:pt>
                <c:pt idx="265">
                  <c:v>45093</c:v>
                </c:pt>
                <c:pt idx="266">
                  <c:v>45097</c:v>
                </c:pt>
                <c:pt idx="267">
                  <c:v>45098</c:v>
                </c:pt>
                <c:pt idx="268">
                  <c:v>45099</c:v>
                </c:pt>
                <c:pt idx="269">
                  <c:v>45100</c:v>
                </c:pt>
                <c:pt idx="270">
                  <c:v>45103</c:v>
                </c:pt>
                <c:pt idx="271">
                  <c:v>45104</c:v>
                </c:pt>
                <c:pt idx="272">
                  <c:v>45105</c:v>
                </c:pt>
                <c:pt idx="273">
                  <c:v>45106</c:v>
                </c:pt>
                <c:pt idx="274">
                  <c:v>45107</c:v>
                </c:pt>
                <c:pt idx="275">
                  <c:v>45110</c:v>
                </c:pt>
                <c:pt idx="276">
                  <c:v>45112</c:v>
                </c:pt>
                <c:pt idx="277">
                  <c:v>45113</c:v>
                </c:pt>
                <c:pt idx="278">
                  <c:v>45114</c:v>
                </c:pt>
                <c:pt idx="279">
                  <c:v>45117</c:v>
                </c:pt>
                <c:pt idx="280">
                  <c:v>45118</c:v>
                </c:pt>
                <c:pt idx="281">
                  <c:v>45119</c:v>
                </c:pt>
                <c:pt idx="282">
                  <c:v>45120</c:v>
                </c:pt>
                <c:pt idx="283">
                  <c:v>45121</c:v>
                </c:pt>
                <c:pt idx="284">
                  <c:v>45124</c:v>
                </c:pt>
                <c:pt idx="285">
                  <c:v>45125</c:v>
                </c:pt>
                <c:pt idx="286">
                  <c:v>45126</c:v>
                </c:pt>
                <c:pt idx="287">
                  <c:v>45127</c:v>
                </c:pt>
                <c:pt idx="288">
                  <c:v>45128</c:v>
                </c:pt>
                <c:pt idx="289">
                  <c:v>45131</c:v>
                </c:pt>
                <c:pt idx="290">
                  <c:v>45132</c:v>
                </c:pt>
                <c:pt idx="291">
                  <c:v>45133</c:v>
                </c:pt>
                <c:pt idx="292">
                  <c:v>45134</c:v>
                </c:pt>
                <c:pt idx="293">
                  <c:v>45135</c:v>
                </c:pt>
                <c:pt idx="294">
                  <c:v>45138</c:v>
                </c:pt>
                <c:pt idx="295">
                  <c:v>45139</c:v>
                </c:pt>
                <c:pt idx="296">
                  <c:v>45140</c:v>
                </c:pt>
                <c:pt idx="297">
                  <c:v>45141</c:v>
                </c:pt>
                <c:pt idx="298">
                  <c:v>45142</c:v>
                </c:pt>
                <c:pt idx="299">
                  <c:v>45145</c:v>
                </c:pt>
                <c:pt idx="300">
                  <c:v>45146</c:v>
                </c:pt>
                <c:pt idx="301">
                  <c:v>45147</c:v>
                </c:pt>
                <c:pt idx="302">
                  <c:v>45148</c:v>
                </c:pt>
                <c:pt idx="303">
                  <c:v>45149</c:v>
                </c:pt>
                <c:pt idx="304">
                  <c:v>45152</c:v>
                </c:pt>
                <c:pt idx="305">
                  <c:v>45153</c:v>
                </c:pt>
                <c:pt idx="306">
                  <c:v>45154</c:v>
                </c:pt>
                <c:pt idx="307">
                  <c:v>45155</c:v>
                </c:pt>
                <c:pt idx="308">
                  <c:v>45156</c:v>
                </c:pt>
                <c:pt idx="309">
                  <c:v>45159</c:v>
                </c:pt>
                <c:pt idx="310">
                  <c:v>45160</c:v>
                </c:pt>
                <c:pt idx="311">
                  <c:v>45161</c:v>
                </c:pt>
                <c:pt idx="312">
                  <c:v>45162</c:v>
                </c:pt>
                <c:pt idx="313">
                  <c:v>45163</c:v>
                </c:pt>
                <c:pt idx="314">
                  <c:v>45166</c:v>
                </c:pt>
                <c:pt idx="315">
                  <c:v>45167</c:v>
                </c:pt>
                <c:pt idx="316">
                  <c:v>45168</c:v>
                </c:pt>
                <c:pt idx="317">
                  <c:v>45169</c:v>
                </c:pt>
                <c:pt idx="318">
                  <c:v>45170</c:v>
                </c:pt>
                <c:pt idx="319">
                  <c:v>45174</c:v>
                </c:pt>
                <c:pt idx="320">
                  <c:v>45175</c:v>
                </c:pt>
                <c:pt idx="321">
                  <c:v>45176</c:v>
                </c:pt>
                <c:pt idx="322">
                  <c:v>45177</c:v>
                </c:pt>
                <c:pt idx="323">
                  <c:v>45180</c:v>
                </c:pt>
                <c:pt idx="324">
                  <c:v>45181</c:v>
                </c:pt>
                <c:pt idx="325">
                  <c:v>45182</c:v>
                </c:pt>
                <c:pt idx="326">
                  <c:v>45183</c:v>
                </c:pt>
                <c:pt idx="327">
                  <c:v>45184</c:v>
                </c:pt>
                <c:pt idx="328">
                  <c:v>45187</c:v>
                </c:pt>
                <c:pt idx="329">
                  <c:v>45188</c:v>
                </c:pt>
                <c:pt idx="330">
                  <c:v>45189</c:v>
                </c:pt>
                <c:pt idx="331">
                  <c:v>45190</c:v>
                </c:pt>
                <c:pt idx="332">
                  <c:v>45191</c:v>
                </c:pt>
                <c:pt idx="333">
                  <c:v>45194</c:v>
                </c:pt>
                <c:pt idx="334">
                  <c:v>45195</c:v>
                </c:pt>
                <c:pt idx="335">
                  <c:v>45196</c:v>
                </c:pt>
                <c:pt idx="336">
                  <c:v>45197</c:v>
                </c:pt>
                <c:pt idx="337">
                  <c:v>45198</c:v>
                </c:pt>
                <c:pt idx="338">
                  <c:v>45201</c:v>
                </c:pt>
                <c:pt idx="339">
                  <c:v>45202</c:v>
                </c:pt>
                <c:pt idx="340">
                  <c:v>45203</c:v>
                </c:pt>
                <c:pt idx="341">
                  <c:v>45204</c:v>
                </c:pt>
                <c:pt idx="342">
                  <c:v>45205</c:v>
                </c:pt>
                <c:pt idx="343">
                  <c:v>45208</c:v>
                </c:pt>
                <c:pt idx="344">
                  <c:v>45209</c:v>
                </c:pt>
                <c:pt idx="345">
                  <c:v>45210</c:v>
                </c:pt>
                <c:pt idx="346">
                  <c:v>45211</c:v>
                </c:pt>
                <c:pt idx="347">
                  <c:v>45212</c:v>
                </c:pt>
                <c:pt idx="348">
                  <c:v>45215</c:v>
                </c:pt>
                <c:pt idx="349">
                  <c:v>45216</c:v>
                </c:pt>
                <c:pt idx="350">
                  <c:v>45217</c:v>
                </c:pt>
                <c:pt idx="351">
                  <c:v>45218</c:v>
                </c:pt>
                <c:pt idx="352">
                  <c:v>45219</c:v>
                </c:pt>
                <c:pt idx="353">
                  <c:v>45222</c:v>
                </c:pt>
                <c:pt idx="354">
                  <c:v>45223</c:v>
                </c:pt>
                <c:pt idx="355">
                  <c:v>45224</c:v>
                </c:pt>
                <c:pt idx="356">
                  <c:v>45225</c:v>
                </c:pt>
                <c:pt idx="357">
                  <c:v>45226</c:v>
                </c:pt>
                <c:pt idx="358">
                  <c:v>45229</c:v>
                </c:pt>
                <c:pt idx="359">
                  <c:v>45230</c:v>
                </c:pt>
                <c:pt idx="360">
                  <c:v>45231</c:v>
                </c:pt>
                <c:pt idx="361">
                  <c:v>45232</c:v>
                </c:pt>
                <c:pt idx="362">
                  <c:v>45233</c:v>
                </c:pt>
                <c:pt idx="363">
                  <c:v>45236</c:v>
                </c:pt>
                <c:pt idx="364">
                  <c:v>45237</c:v>
                </c:pt>
                <c:pt idx="365">
                  <c:v>45238</c:v>
                </c:pt>
                <c:pt idx="366">
                  <c:v>45239</c:v>
                </c:pt>
                <c:pt idx="367">
                  <c:v>45240</c:v>
                </c:pt>
                <c:pt idx="368">
                  <c:v>45243</c:v>
                </c:pt>
                <c:pt idx="369">
                  <c:v>45244</c:v>
                </c:pt>
                <c:pt idx="370">
                  <c:v>45245</c:v>
                </c:pt>
                <c:pt idx="371">
                  <c:v>45246</c:v>
                </c:pt>
                <c:pt idx="372">
                  <c:v>45247</c:v>
                </c:pt>
                <c:pt idx="373">
                  <c:v>45250</c:v>
                </c:pt>
                <c:pt idx="374">
                  <c:v>45251</c:v>
                </c:pt>
                <c:pt idx="375">
                  <c:v>45252</c:v>
                </c:pt>
                <c:pt idx="376">
                  <c:v>45254</c:v>
                </c:pt>
                <c:pt idx="377">
                  <c:v>45257</c:v>
                </c:pt>
                <c:pt idx="378">
                  <c:v>45258</c:v>
                </c:pt>
                <c:pt idx="379">
                  <c:v>45259</c:v>
                </c:pt>
                <c:pt idx="380">
                  <c:v>45260</c:v>
                </c:pt>
                <c:pt idx="381">
                  <c:v>45261</c:v>
                </c:pt>
                <c:pt idx="382">
                  <c:v>45264</c:v>
                </c:pt>
                <c:pt idx="383">
                  <c:v>45265</c:v>
                </c:pt>
                <c:pt idx="384">
                  <c:v>45266</c:v>
                </c:pt>
                <c:pt idx="385">
                  <c:v>45267</c:v>
                </c:pt>
                <c:pt idx="386">
                  <c:v>45268</c:v>
                </c:pt>
                <c:pt idx="387">
                  <c:v>45271</c:v>
                </c:pt>
                <c:pt idx="388">
                  <c:v>45272</c:v>
                </c:pt>
                <c:pt idx="389">
                  <c:v>45273</c:v>
                </c:pt>
                <c:pt idx="390">
                  <c:v>45274</c:v>
                </c:pt>
                <c:pt idx="391">
                  <c:v>45275</c:v>
                </c:pt>
                <c:pt idx="392">
                  <c:v>45278</c:v>
                </c:pt>
                <c:pt idx="393">
                  <c:v>45279</c:v>
                </c:pt>
                <c:pt idx="394">
                  <c:v>45280</c:v>
                </c:pt>
                <c:pt idx="395">
                  <c:v>45281</c:v>
                </c:pt>
                <c:pt idx="396">
                  <c:v>45282</c:v>
                </c:pt>
                <c:pt idx="397">
                  <c:v>45286</c:v>
                </c:pt>
                <c:pt idx="398">
                  <c:v>45287</c:v>
                </c:pt>
                <c:pt idx="399">
                  <c:v>45288</c:v>
                </c:pt>
                <c:pt idx="400">
                  <c:v>45289</c:v>
                </c:pt>
                <c:pt idx="401">
                  <c:v>45293</c:v>
                </c:pt>
                <c:pt idx="402">
                  <c:v>45294</c:v>
                </c:pt>
                <c:pt idx="403">
                  <c:v>45295</c:v>
                </c:pt>
                <c:pt idx="404">
                  <c:v>45296</c:v>
                </c:pt>
                <c:pt idx="405">
                  <c:v>45299</c:v>
                </c:pt>
                <c:pt idx="406">
                  <c:v>45300</c:v>
                </c:pt>
                <c:pt idx="407">
                  <c:v>45301</c:v>
                </c:pt>
                <c:pt idx="408">
                  <c:v>45302</c:v>
                </c:pt>
                <c:pt idx="409">
                  <c:v>45303</c:v>
                </c:pt>
                <c:pt idx="410">
                  <c:v>45307</c:v>
                </c:pt>
                <c:pt idx="411">
                  <c:v>45308</c:v>
                </c:pt>
                <c:pt idx="412">
                  <c:v>45309</c:v>
                </c:pt>
                <c:pt idx="413">
                  <c:v>45310</c:v>
                </c:pt>
                <c:pt idx="414">
                  <c:v>45313</c:v>
                </c:pt>
                <c:pt idx="415">
                  <c:v>45314</c:v>
                </c:pt>
                <c:pt idx="416">
                  <c:v>45315</c:v>
                </c:pt>
                <c:pt idx="417">
                  <c:v>45316</c:v>
                </c:pt>
                <c:pt idx="418">
                  <c:v>45317</c:v>
                </c:pt>
                <c:pt idx="419">
                  <c:v>45320</c:v>
                </c:pt>
                <c:pt idx="420">
                  <c:v>45321</c:v>
                </c:pt>
                <c:pt idx="421">
                  <c:v>45322</c:v>
                </c:pt>
                <c:pt idx="422">
                  <c:v>45323</c:v>
                </c:pt>
                <c:pt idx="423">
                  <c:v>45324</c:v>
                </c:pt>
                <c:pt idx="424">
                  <c:v>45327</c:v>
                </c:pt>
                <c:pt idx="425">
                  <c:v>45328</c:v>
                </c:pt>
                <c:pt idx="426">
                  <c:v>45329</c:v>
                </c:pt>
                <c:pt idx="427">
                  <c:v>45330</c:v>
                </c:pt>
                <c:pt idx="428">
                  <c:v>45331</c:v>
                </c:pt>
                <c:pt idx="429">
                  <c:v>45334</c:v>
                </c:pt>
                <c:pt idx="430">
                  <c:v>45335</c:v>
                </c:pt>
                <c:pt idx="431">
                  <c:v>45336</c:v>
                </c:pt>
                <c:pt idx="432">
                  <c:v>45337</c:v>
                </c:pt>
                <c:pt idx="433">
                  <c:v>45338</c:v>
                </c:pt>
                <c:pt idx="434">
                  <c:v>45342</c:v>
                </c:pt>
                <c:pt idx="435">
                  <c:v>45343</c:v>
                </c:pt>
                <c:pt idx="436">
                  <c:v>45344</c:v>
                </c:pt>
                <c:pt idx="437">
                  <c:v>45345</c:v>
                </c:pt>
                <c:pt idx="438">
                  <c:v>45348</c:v>
                </c:pt>
                <c:pt idx="439">
                  <c:v>45349</c:v>
                </c:pt>
                <c:pt idx="440">
                  <c:v>45350</c:v>
                </c:pt>
                <c:pt idx="441">
                  <c:v>45351</c:v>
                </c:pt>
                <c:pt idx="442">
                  <c:v>45352</c:v>
                </c:pt>
                <c:pt idx="443">
                  <c:v>45355</c:v>
                </c:pt>
                <c:pt idx="444">
                  <c:v>45356</c:v>
                </c:pt>
                <c:pt idx="445">
                  <c:v>45357</c:v>
                </c:pt>
                <c:pt idx="446">
                  <c:v>45358</c:v>
                </c:pt>
                <c:pt idx="447">
                  <c:v>45359</c:v>
                </c:pt>
                <c:pt idx="448">
                  <c:v>45362</c:v>
                </c:pt>
                <c:pt idx="449">
                  <c:v>45363</c:v>
                </c:pt>
                <c:pt idx="450">
                  <c:v>45364</c:v>
                </c:pt>
                <c:pt idx="451">
                  <c:v>45365</c:v>
                </c:pt>
                <c:pt idx="452">
                  <c:v>45366</c:v>
                </c:pt>
                <c:pt idx="453">
                  <c:v>45369</c:v>
                </c:pt>
                <c:pt idx="454">
                  <c:v>45370</c:v>
                </c:pt>
                <c:pt idx="455">
                  <c:v>45371</c:v>
                </c:pt>
                <c:pt idx="456">
                  <c:v>45372</c:v>
                </c:pt>
                <c:pt idx="457">
                  <c:v>45373</c:v>
                </c:pt>
                <c:pt idx="458">
                  <c:v>45376</c:v>
                </c:pt>
                <c:pt idx="459">
                  <c:v>45377</c:v>
                </c:pt>
                <c:pt idx="460">
                  <c:v>45378</c:v>
                </c:pt>
                <c:pt idx="461">
                  <c:v>45379</c:v>
                </c:pt>
                <c:pt idx="462">
                  <c:v>45383</c:v>
                </c:pt>
                <c:pt idx="463">
                  <c:v>45384</c:v>
                </c:pt>
                <c:pt idx="464">
                  <c:v>45385</c:v>
                </c:pt>
                <c:pt idx="465">
                  <c:v>45386</c:v>
                </c:pt>
                <c:pt idx="466">
                  <c:v>45387</c:v>
                </c:pt>
                <c:pt idx="467">
                  <c:v>45390</c:v>
                </c:pt>
                <c:pt idx="468">
                  <c:v>45391</c:v>
                </c:pt>
                <c:pt idx="469">
                  <c:v>45392</c:v>
                </c:pt>
                <c:pt idx="470">
                  <c:v>45393</c:v>
                </c:pt>
                <c:pt idx="471">
                  <c:v>45394</c:v>
                </c:pt>
                <c:pt idx="472">
                  <c:v>45397</c:v>
                </c:pt>
                <c:pt idx="473">
                  <c:v>45398</c:v>
                </c:pt>
                <c:pt idx="474">
                  <c:v>45399</c:v>
                </c:pt>
                <c:pt idx="475">
                  <c:v>45400</c:v>
                </c:pt>
                <c:pt idx="476">
                  <c:v>45401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45411</c:v>
                </c:pt>
                <c:pt idx="483">
                  <c:v>45412</c:v>
                </c:pt>
                <c:pt idx="484">
                  <c:v>45413</c:v>
                </c:pt>
                <c:pt idx="485">
                  <c:v>45414</c:v>
                </c:pt>
                <c:pt idx="486">
                  <c:v>45415</c:v>
                </c:pt>
                <c:pt idx="487">
                  <c:v>45418</c:v>
                </c:pt>
                <c:pt idx="488">
                  <c:v>45419</c:v>
                </c:pt>
                <c:pt idx="489">
                  <c:v>45420</c:v>
                </c:pt>
                <c:pt idx="490">
                  <c:v>45421</c:v>
                </c:pt>
                <c:pt idx="491">
                  <c:v>45422</c:v>
                </c:pt>
                <c:pt idx="492">
                  <c:v>45425</c:v>
                </c:pt>
                <c:pt idx="493">
                  <c:v>45426</c:v>
                </c:pt>
                <c:pt idx="494">
                  <c:v>45427</c:v>
                </c:pt>
                <c:pt idx="495">
                  <c:v>45428</c:v>
                </c:pt>
                <c:pt idx="496">
                  <c:v>45429</c:v>
                </c:pt>
                <c:pt idx="497">
                  <c:v>45432</c:v>
                </c:pt>
                <c:pt idx="498">
                  <c:v>45433</c:v>
                </c:pt>
                <c:pt idx="499">
                  <c:v>45434</c:v>
                </c:pt>
                <c:pt idx="500">
                  <c:v>45435</c:v>
                </c:pt>
                <c:pt idx="501">
                  <c:v>45436</c:v>
                </c:pt>
              </c:numCache>
            </c:numRef>
          </c:xVal>
          <c:yVal>
            <c:numRef>
              <c:f>MME!$K$2:$K$503</c:f>
              <c:numCache>
                <c:formatCode>0.000</c:formatCode>
                <c:ptCount val="502"/>
                <c:pt idx="0">
                  <c:v>117.36856164504707</c:v>
                </c:pt>
                <c:pt idx="1">
                  <c:v>117.33713170892004</c:v>
                </c:pt>
                <c:pt idx="2">
                  <c:v>117.30571018936446</c:v>
                </c:pt>
                <c:pt idx="3">
                  <c:v>117.27429708412649</c:v>
                </c:pt>
                <c:pt idx="4">
                  <c:v>117.24289239095282</c:v>
                </c:pt>
                <c:pt idx="5">
                  <c:v>117.21149610759085</c:v>
                </c:pt>
                <c:pt idx="6">
                  <c:v>117.18010823178851</c:v>
                </c:pt>
                <c:pt idx="7">
                  <c:v>117.14872876129434</c:v>
                </c:pt>
                <c:pt idx="8">
                  <c:v>117.11735769385751</c:v>
                </c:pt>
                <c:pt idx="9">
                  <c:v>117.08599502722778</c:v>
                </c:pt>
                <c:pt idx="10">
                  <c:v>117.05464075915552</c:v>
                </c:pt>
                <c:pt idx="11">
                  <c:v>117.02329488739167</c:v>
                </c:pt>
                <c:pt idx="12">
                  <c:v>116.99195740968783</c:v>
                </c:pt>
                <c:pt idx="13">
                  <c:v>116.96062832379613</c:v>
                </c:pt>
                <c:pt idx="14">
                  <c:v>116.92930762746937</c:v>
                </c:pt>
                <c:pt idx="15">
                  <c:v>116.8979953184609</c:v>
                </c:pt>
                <c:pt idx="16">
                  <c:v>116.86669139452472</c:v>
                </c:pt>
                <c:pt idx="17">
                  <c:v>116.83539585341538</c:v>
                </c:pt>
                <c:pt idx="18">
                  <c:v>116.80410869288806</c:v>
                </c:pt>
                <c:pt idx="19">
                  <c:v>116.77282991069855</c:v>
                </c:pt>
                <c:pt idx="20">
                  <c:v>116.74155950460323</c:v>
                </c:pt>
                <c:pt idx="21">
                  <c:v>116.71029747235904</c:v>
                </c:pt>
                <c:pt idx="22">
                  <c:v>116.67904381172363</c:v>
                </c:pt>
                <c:pt idx="23">
                  <c:v>116.64779852045513</c:v>
                </c:pt>
                <c:pt idx="24">
                  <c:v>116.61656159631232</c:v>
                </c:pt>
                <c:pt idx="25">
                  <c:v>116.5853330370546</c:v>
                </c:pt>
                <c:pt idx="26">
                  <c:v>116.55411284044195</c:v>
                </c:pt>
                <c:pt idx="27">
                  <c:v>116.52290100423495</c:v>
                </c:pt>
                <c:pt idx="28">
                  <c:v>116.49169752619477</c:v>
                </c:pt>
                <c:pt idx="29">
                  <c:v>116.4605024040832</c:v>
                </c:pt>
                <c:pt idx="30">
                  <c:v>116.4293156356626</c:v>
                </c:pt>
                <c:pt idx="31">
                  <c:v>116.39813721869598</c:v>
                </c:pt>
                <c:pt idx="32">
                  <c:v>116.36696715094691</c:v>
                </c:pt>
                <c:pt idx="33">
                  <c:v>116.33580543017953</c:v>
                </c:pt>
                <c:pt idx="34">
                  <c:v>116.30465205415867</c:v>
                </c:pt>
                <c:pt idx="35">
                  <c:v>116.27350702064966</c:v>
                </c:pt>
                <c:pt idx="36">
                  <c:v>116.2423703274185</c:v>
                </c:pt>
                <c:pt idx="37">
                  <c:v>116.21124197223176</c:v>
                </c:pt>
                <c:pt idx="38">
                  <c:v>116.1801219528566</c:v>
                </c:pt>
                <c:pt idx="39">
                  <c:v>116.14901026706077</c:v>
                </c:pt>
                <c:pt idx="40">
                  <c:v>116.11790691261265</c:v>
                </c:pt>
                <c:pt idx="41">
                  <c:v>116.08681188728121</c:v>
                </c:pt>
                <c:pt idx="42">
                  <c:v>116.05572518883602</c:v>
                </c:pt>
                <c:pt idx="43">
                  <c:v>116.02464681504719</c:v>
                </c:pt>
                <c:pt idx="44">
                  <c:v>115.99357676368551</c:v>
                </c:pt>
                <c:pt idx="45">
                  <c:v>115.96251503252233</c:v>
                </c:pt>
                <c:pt idx="46">
                  <c:v>115.9314616193296</c:v>
                </c:pt>
                <c:pt idx="47">
                  <c:v>115.90041652187983</c:v>
                </c:pt>
                <c:pt idx="48">
                  <c:v>115.8693797379462</c:v>
                </c:pt>
                <c:pt idx="49">
                  <c:v>115.83835126530244</c:v>
                </c:pt>
                <c:pt idx="50">
                  <c:v>115.80733110172287</c:v>
                </c:pt>
                <c:pt idx="51">
                  <c:v>115.77631924498242</c:v>
                </c:pt>
                <c:pt idx="52">
                  <c:v>115.74531569285662</c:v>
                </c:pt>
                <c:pt idx="53">
                  <c:v>115.71432044312161</c:v>
                </c:pt>
                <c:pt idx="54">
                  <c:v>115.68333349355406</c:v>
                </c:pt>
                <c:pt idx="55">
                  <c:v>115.65235484193133</c:v>
                </c:pt>
                <c:pt idx="56">
                  <c:v>115.62138448603129</c:v>
                </c:pt>
                <c:pt idx="57">
                  <c:v>115.59042242363246</c:v>
                </c:pt>
                <c:pt idx="58">
                  <c:v>115.55946865251394</c:v>
                </c:pt>
                <c:pt idx="59">
                  <c:v>115.52852317045543</c:v>
                </c:pt>
                <c:pt idx="60">
                  <c:v>115.49758597523717</c:v>
                </c:pt>
                <c:pt idx="61">
                  <c:v>115.4666570646401</c:v>
                </c:pt>
                <c:pt idx="62">
                  <c:v>115.43573643644567</c:v>
                </c:pt>
                <c:pt idx="63">
                  <c:v>115.40482408843593</c:v>
                </c:pt>
                <c:pt idx="64">
                  <c:v>115.37392001839356</c:v>
                </c:pt>
                <c:pt idx="65">
                  <c:v>115.34302422410182</c:v>
                </c:pt>
                <c:pt idx="66">
                  <c:v>115.31213670334456</c:v>
                </c:pt>
                <c:pt idx="67">
                  <c:v>115.28125745390622</c:v>
                </c:pt>
                <c:pt idx="68">
                  <c:v>115.25038647357184</c:v>
                </c:pt>
                <c:pt idx="69">
                  <c:v>115.21952376012703</c:v>
                </c:pt>
                <c:pt idx="70">
                  <c:v>115.18866931135804</c:v>
                </c:pt>
                <c:pt idx="71">
                  <c:v>115.15782312505168</c:v>
                </c:pt>
                <c:pt idx="72">
                  <c:v>115.12698519899536</c:v>
                </c:pt>
                <c:pt idx="73">
                  <c:v>115.09615553097706</c:v>
                </c:pt>
                <c:pt idx="74">
                  <c:v>115.06533411878539</c:v>
                </c:pt>
                <c:pt idx="75">
                  <c:v>115.03452096020953</c:v>
                </c:pt>
                <c:pt idx="76">
                  <c:v>115.00371605303927</c:v>
                </c:pt>
                <c:pt idx="77">
                  <c:v>114.97291939506499</c:v>
                </c:pt>
                <c:pt idx="78">
                  <c:v>114.94213098407761</c:v>
                </c:pt>
                <c:pt idx="79">
                  <c:v>114.91135081786872</c:v>
                </c:pt>
                <c:pt idx="80">
                  <c:v>114.88057889423044</c:v>
                </c:pt>
                <c:pt idx="81">
                  <c:v>114.84981521095551</c:v>
                </c:pt>
                <c:pt idx="82">
                  <c:v>114.81905976583728</c:v>
                </c:pt>
                <c:pt idx="83">
                  <c:v>114.78831255666964</c:v>
                </c:pt>
                <c:pt idx="84">
                  <c:v>114.7575735812471</c:v>
                </c:pt>
                <c:pt idx="85">
                  <c:v>114.72684283736477</c:v>
                </c:pt>
                <c:pt idx="86">
                  <c:v>114.69612032281835</c:v>
                </c:pt>
                <c:pt idx="87">
                  <c:v>114.66540603540409</c:v>
                </c:pt>
                <c:pt idx="88">
                  <c:v>114.63469997291887</c:v>
                </c:pt>
                <c:pt idx="89">
                  <c:v>114.60400213316018</c:v>
                </c:pt>
                <c:pt idx="90">
                  <c:v>114.57331251392601</c:v>
                </c:pt>
                <c:pt idx="91">
                  <c:v>114.54263111301505</c:v>
                </c:pt>
                <c:pt idx="92">
                  <c:v>114.51195792822651</c:v>
                </c:pt>
                <c:pt idx="93">
                  <c:v>114.48129295736022</c:v>
                </c:pt>
                <c:pt idx="94">
                  <c:v>114.45063619821657</c:v>
                </c:pt>
                <c:pt idx="95">
                  <c:v>114.41998764859656</c:v>
                </c:pt>
                <c:pt idx="96">
                  <c:v>114.38934730630177</c:v>
                </c:pt>
                <c:pt idx="97">
                  <c:v>114.3587151691344</c:v>
                </c:pt>
                <c:pt idx="98">
                  <c:v>114.32809123489717</c:v>
                </c:pt>
                <c:pt idx="99">
                  <c:v>114.29747550139346</c:v>
                </c:pt>
                <c:pt idx="100">
                  <c:v>114.26686796642723</c:v>
                </c:pt>
                <c:pt idx="101">
                  <c:v>114.23626862780296</c:v>
                </c:pt>
                <c:pt idx="102">
                  <c:v>114.20567748332579</c:v>
                </c:pt>
                <c:pt idx="103">
                  <c:v>114.17509453080142</c:v>
                </c:pt>
                <c:pt idx="104">
                  <c:v>114.14451976803613</c:v>
                </c:pt>
                <c:pt idx="105">
                  <c:v>114.1139531928368</c:v>
                </c:pt>
                <c:pt idx="106">
                  <c:v>114.08339480301092</c:v>
                </c:pt>
                <c:pt idx="107">
                  <c:v>114.05284459636651</c:v>
                </c:pt>
                <c:pt idx="108">
                  <c:v>114.02230257071223</c:v>
                </c:pt>
                <c:pt idx="109">
                  <c:v>113.99176872385729</c:v>
                </c:pt>
                <c:pt idx="110">
                  <c:v>113.96124305361153</c:v>
                </c:pt>
                <c:pt idx="111">
                  <c:v>113.93072555778531</c:v>
                </c:pt>
                <c:pt idx="112">
                  <c:v>113.90021623418963</c:v>
                </c:pt>
                <c:pt idx="113">
                  <c:v>113.86971508063608</c:v>
                </c:pt>
                <c:pt idx="114">
                  <c:v>113.8392220949368</c:v>
                </c:pt>
                <c:pt idx="115">
                  <c:v>113.80873727490454</c:v>
                </c:pt>
                <c:pt idx="116">
                  <c:v>113.77826061835265</c:v>
                </c:pt>
                <c:pt idx="117">
                  <c:v>113.747792123095</c:v>
                </c:pt>
                <c:pt idx="118">
                  <c:v>113.71733178694612</c:v>
                </c:pt>
                <c:pt idx="119">
                  <c:v>113.68687960772108</c:v>
                </c:pt>
                <c:pt idx="120">
                  <c:v>113.65643558323556</c:v>
                </c:pt>
                <c:pt idx="121">
                  <c:v>113.62599971130582</c:v>
                </c:pt>
                <c:pt idx="122">
                  <c:v>113.59557198974871</c:v>
                </c:pt>
                <c:pt idx="123">
                  <c:v>113.56515241638161</c:v>
                </c:pt>
                <c:pt idx="124">
                  <c:v>113.53474098902258</c:v>
                </c:pt>
                <c:pt idx="125">
                  <c:v>113.50433770549019</c:v>
                </c:pt>
                <c:pt idx="126">
                  <c:v>113.47394256360363</c:v>
                </c:pt>
                <c:pt idx="127">
                  <c:v>113.44355556118263</c:v>
                </c:pt>
                <c:pt idx="128">
                  <c:v>113.41317669604757</c:v>
                </c:pt>
                <c:pt idx="129">
                  <c:v>113.38280596601938</c:v>
                </c:pt>
                <c:pt idx="130">
                  <c:v>113.35244336891955</c:v>
                </c:pt>
                <c:pt idx="131">
                  <c:v>113.32208890257017</c:v>
                </c:pt>
                <c:pt idx="132">
                  <c:v>113.29174256479396</c:v>
                </c:pt>
                <c:pt idx="133">
                  <c:v>113.26140435341416</c:v>
                </c:pt>
                <c:pt idx="134">
                  <c:v>113.23107426625462</c:v>
                </c:pt>
                <c:pt idx="135">
                  <c:v>113.20075230113976</c:v>
                </c:pt>
                <c:pt idx="136">
                  <c:v>113.17043845589458</c:v>
                </c:pt>
                <c:pt idx="137">
                  <c:v>113.14013272834471</c:v>
                </c:pt>
                <c:pt idx="138">
                  <c:v>113.10983511631629</c:v>
                </c:pt>
                <c:pt idx="139">
                  <c:v>113.07954561763609</c:v>
                </c:pt>
                <c:pt idx="140">
                  <c:v>113.04926423013146</c:v>
                </c:pt>
                <c:pt idx="141">
                  <c:v>113.0189909516303</c:v>
                </c:pt>
                <c:pt idx="142">
                  <c:v>112.98872577996114</c:v>
                </c:pt>
                <c:pt idx="143">
                  <c:v>112.95846871295304</c:v>
                </c:pt>
                <c:pt idx="144">
                  <c:v>112.92821974843568</c:v>
                </c:pt>
                <c:pt idx="145">
                  <c:v>112.89797888423929</c:v>
                </c:pt>
                <c:pt idx="146">
                  <c:v>112.86774611819473</c:v>
                </c:pt>
                <c:pt idx="147">
                  <c:v>112.83752144813339</c:v>
                </c:pt>
                <c:pt idx="148">
                  <c:v>112.80730487188725</c:v>
                </c:pt>
                <c:pt idx="149">
                  <c:v>112.77709638728889</c:v>
                </c:pt>
                <c:pt idx="150">
                  <c:v>112.74689599217147</c:v>
                </c:pt>
                <c:pt idx="151">
                  <c:v>112.71670368436871</c:v>
                </c:pt>
                <c:pt idx="152">
                  <c:v>112.68651946171494</c:v>
                </c:pt>
                <c:pt idx="153">
                  <c:v>112.65634332204502</c:v>
                </c:pt>
                <c:pt idx="154">
                  <c:v>112.62617526319444</c:v>
                </c:pt>
                <c:pt idx="155">
                  <c:v>112.59601528299923</c:v>
                </c:pt>
                <c:pt idx="156">
                  <c:v>112.56586337929605</c:v>
                </c:pt>
                <c:pt idx="157">
                  <c:v>112.53571954992211</c:v>
                </c:pt>
                <c:pt idx="158">
                  <c:v>112.50558379271516</c:v>
                </c:pt>
                <c:pt idx="159">
                  <c:v>112.4754561055136</c:v>
                </c:pt>
                <c:pt idx="160">
                  <c:v>112.44533648615636</c:v>
                </c:pt>
                <c:pt idx="161">
                  <c:v>112.41522493248299</c:v>
                </c:pt>
                <c:pt idx="162">
                  <c:v>112.38512144233357</c:v>
                </c:pt>
                <c:pt idx="163">
                  <c:v>112.35502601354879</c:v>
                </c:pt>
                <c:pt idx="164">
                  <c:v>112.32493864396992</c:v>
                </c:pt>
                <c:pt idx="165">
                  <c:v>112.29485933143877</c:v>
                </c:pt>
                <c:pt idx="166">
                  <c:v>112.26478807379779</c:v>
                </c:pt>
                <c:pt idx="167">
                  <c:v>112.23472486888994</c:v>
                </c:pt>
                <c:pt idx="168">
                  <c:v>112.20466971455883</c:v>
                </c:pt>
                <c:pt idx="169">
                  <c:v>112.17462260864858</c:v>
                </c:pt>
                <c:pt idx="170">
                  <c:v>112.14458354900393</c:v>
                </c:pt>
                <c:pt idx="171">
                  <c:v>112.11455253347016</c:v>
                </c:pt>
                <c:pt idx="172">
                  <c:v>112.08452955989318</c:v>
                </c:pt>
                <c:pt idx="173">
                  <c:v>112.05451462611944</c:v>
                </c:pt>
                <c:pt idx="174">
                  <c:v>112.02450772999597</c:v>
                </c:pt>
                <c:pt idx="175">
                  <c:v>111.99450886937038</c:v>
                </c:pt>
                <c:pt idx="176">
                  <c:v>111.96451804209087</c:v>
                </c:pt>
                <c:pt idx="177">
                  <c:v>111.93453524600619</c:v>
                </c:pt>
                <c:pt idx="178">
                  <c:v>111.90456047896568</c:v>
                </c:pt>
                <c:pt idx="179">
                  <c:v>111.87459373881924</c:v>
                </c:pt>
                <c:pt idx="180">
                  <c:v>111.8446350234174</c:v>
                </c:pt>
                <c:pt idx="181">
                  <c:v>111.8146843306112</c:v>
                </c:pt>
                <c:pt idx="182">
                  <c:v>111.78474165825229</c:v>
                </c:pt>
                <c:pt idx="183">
                  <c:v>111.75480700419288</c:v>
                </c:pt>
                <c:pt idx="184">
                  <c:v>111.72488036628576</c:v>
                </c:pt>
                <c:pt idx="185">
                  <c:v>111.69496174238432</c:v>
                </c:pt>
                <c:pt idx="186">
                  <c:v>111.66505113034249</c:v>
                </c:pt>
                <c:pt idx="187">
                  <c:v>111.63514852801477</c:v>
                </c:pt>
                <c:pt idx="188">
                  <c:v>111.60525393325626</c:v>
                </c:pt>
                <c:pt idx="189">
                  <c:v>111.57536734392265</c:v>
                </c:pt>
                <c:pt idx="190">
                  <c:v>111.54548875787016</c:v>
                </c:pt>
                <c:pt idx="191">
                  <c:v>111.5156181729556</c:v>
                </c:pt>
                <c:pt idx="192">
                  <c:v>111.48575558703638</c:v>
                </c:pt>
                <c:pt idx="193">
                  <c:v>111.45590099797043</c:v>
                </c:pt>
                <c:pt idx="194">
                  <c:v>111.42605440361631</c:v>
                </c:pt>
                <c:pt idx="195">
                  <c:v>111.39621580183312</c:v>
                </c:pt>
                <c:pt idx="196">
                  <c:v>111.36638519048056</c:v>
                </c:pt>
                <c:pt idx="197">
                  <c:v>111.33656256741885</c:v>
                </c:pt>
                <c:pt idx="198">
                  <c:v>111.30674793050883</c:v>
                </c:pt>
                <c:pt idx="199">
                  <c:v>111.27694127761194</c:v>
                </c:pt>
                <c:pt idx="200">
                  <c:v>111.2471426065901</c:v>
                </c:pt>
                <c:pt idx="201">
                  <c:v>111.2173519153059</c:v>
                </c:pt>
                <c:pt idx="202">
                  <c:v>111.18756920162244</c:v>
                </c:pt>
                <c:pt idx="203">
                  <c:v>111.15779446340339</c:v>
                </c:pt>
                <c:pt idx="204">
                  <c:v>111.12802769851305</c:v>
                </c:pt>
                <c:pt idx="205">
                  <c:v>111.09826890481624</c:v>
                </c:pt>
                <c:pt idx="206">
                  <c:v>111.06851808017836</c:v>
                </c:pt>
                <c:pt idx="207">
                  <c:v>111.03877522246539</c:v>
                </c:pt>
                <c:pt idx="208">
                  <c:v>111.00904032954391</c:v>
                </c:pt>
                <c:pt idx="209">
                  <c:v>110.979313399281</c:v>
                </c:pt>
                <c:pt idx="210">
                  <c:v>110.94959442954438</c:v>
                </c:pt>
                <c:pt idx="211">
                  <c:v>110.91988341820229</c:v>
                </c:pt>
                <c:pt idx="212">
                  <c:v>110.89018036312359</c:v>
                </c:pt>
                <c:pt idx="213">
                  <c:v>110.86048526217766</c:v>
                </c:pt>
                <c:pt idx="214">
                  <c:v>110.83079811323449</c:v>
                </c:pt>
                <c:pt idx="215">
                  <c:v>110.80111891416465</c:v>
                </c:pt>
                <c:pt idx="216">
                  <c:v>110.77144766283921</c:v>
                </c:pt>
                <c:pt idx="217">
                  <c:v>110.74178435712989</c:v>
                </c:pt>
                <c:pt idx="218">
                  <c:v>110.71212899490891</c:v>
                </c:pt>
                <c:pt idx="219">
                  <c:v>110.68248157404913</c:v>
                </c:pt>
                <c:pt idx="220">
                  <c:v>110.65284209242395</c:v>
                </c:pt>
                <c:pt idx="221">
                  <c:v>110.62321054790732</c:v>
                </c:pt>
                <c:pt idx="222">
                  <c:v>110.59358693837378</c:v>
                </c:pt>
                <c:pt idx="223">
                  <c:v>110.56397126169841</c:v>
                </c:pt>
                <c:pt idx="224">
                  <c:v>110.53436351575691</c:v>
                </c:pt>
                <c:pt idx="225">
                  <c:v>110.50476369842552</c:v>
                </c:pt>
                <c:pt idx="226">
                  <c:v>110.47517180758103</c:v>
                </c:pt>
                <c:pt idx="227">
                  <c:v>110.44558784110086</c:v>
                </c:pt>
                <c:pt idx="228">
                  <c:v>110.41601179686292</c:v>
                </c:pt>
                <c:pt idx="229">
                  <c:v>110.38644367274573</c:v>
                </c:pt>
                <c:pt idx="230">
                  <c:v>110.35688346662839</c:v>
                </c:pt>
                <c:pt idx="231">
                  <c:v>110.32733117639053</c:v>
                </c:pt>
                <c:pt idx="232">
                  <c:v>110.29778679991239</c:v>
                </c:pt>
                <c:pt idx="233">
                  <c:v>110.26825033507475</c:v>
                </c:pt>
                <c:pt idx="234">
                  <c:v>110.23872177975896</c:v>
                </c:pt>
                <c:pt idx="235">
                  <c:v>110.20920113184695</c:v>
                </c:pt>
                <c:pt idx="236">
                  <c:v>110.1796883892212</c:v>
                </c:pt>
                <c:pt idx="237">
                  <c:v>110.15018354976478</c:v>
                </c:pt>
                <c:pt idx="238">
                  <c:v>110.12068661136129</c:v>
                </c:pt>
                <c:pt idx="239">
                  <c:v>110.09119757189494</c:v>
                </c:pt>
                <c:pt idx="240">
                  <c:v>110.0617164292505</c:v>
                </c:pt>
                <c:pt idx="241">
                  <c:v>110.03224318131323</c:v>
                </c:pt>
                <c:pt idx="242">
                  <c:v>110.0027778259691</c:v>
                </c:pt>
                <c:pt idx="243">
                  <c:v>109.97332036110453</c:v>
                </c:pt>
                <c:pt idx="244">
                  <c:v>109.94387078460652</c:v>
                </c:pt>
                <c:pt idx="245">
                  <c:v>109.91442909436267</c:v>
                </c:pt>
                <c:pt idx="246">
                  <c:v>109.88499528826117</c:v>
                </c:pt>
                <c:pt idx="247">
                  <c:v>109.85556936419069</c:v>
                </c:pt>
                <c:pt idx="248">
                  <c:v>109.82615132004052</c:v>
                </c:pt>
                <c:pt idx="249">
                  <c:v>109.79674115370054</c:v>
                </c:pt>
                <c:pt idx="250">
                  <c:v>109.76733886306113</c:v>
                </c:pt>
                <c:pt idx="251">
                  <c:v>109.7379444460133</c:v>
                </c:pt>
                <c:pt idx="252">
                  <c:v>109.70855790044857</c:v>
                </c:pt>
                <c:pt idx="253">
                  <c:v>109.67917922425904</c:v>
                </c:pt>
                <c:pt idx="254">
                  <c:v>109.64980841533742</c:v>
                </c:pt>
                <c:pt idx="255">
                  <c:v>109.62044547157691</c:v>
                </c:pt>
                <c:pt idx="256">
                  <c:v>109.59109039087134</c:v>
                </c:pt>
                <c:pt idx="257">
                  <c:v>109.56174317111505</c:v>
                </c:pt>
                <c:pt idx="258">
                  <c:v>109.53240381020299</c:v>
                </c:pt>
                <c:pt idx="259">
                  <c:v>109.50307230603065</c:v>
                </c:pt>
                <c:pt idx="260">
                  <c:v>109.47374865649407</c:v>
                </c:pt>
                <c:pt idx="261">
                  <c:v>109.44443285948988</c:v>
                </c:pt>
                <c:pt idx="262">
                  <c:v>109.41512491291526</c:v>
                </c:pt>
                <c:pt idx="263">
                  <c:v>109.38582481466797</c:v>
                </c:pt>
                <c:pt idx="264">
                  <c:v>109.35653256264631</c:v>
                </c:pt>
                <c:pt idx="265">
                  <c:v>109.32724815474914</c:v>
                </c:pt>
                <c:pt idx="266">
                  <c:v>109.29797158887591</c:v>
                </c:pt>
                <c:pt idx="267">
                  <c:v>109.26870286292663</c:v>
                </c:pt>
                <c:pt idx="268">
                  <c:v>109.23944197480182</c:v>
                </c:pt>
                <c:pt idx="269">
                  <c:v>109.21018892240262</c:v>
                </c:pt>
                <c:pt idx="270">
                  <c:v>109.18094370363073</c:v>
                </c:pt>
                <c:pt idx="271">
                  <c:v>109.15170631638838</c:v>
                </c:pt>
                <c:pt idx="272">
                  <c:v>109.1224767585784</c:v>
                </c:pt>
                <c:pt idx="273">
                  <c:v>109.09325502810412</c:v>
                </c:pt>
                <c:pt idx="274">
                  <c:v>109.0640411228695</c:v>
                </c:pt>
                <c:pt idx="275">
                  <c:v>109.03483504077902</c:v>
                </c:pt>
                <c:pt idx="276">
                  <c:v>109.00563677973773</c:v>
                </c:pt>
                <c:pt idx="277">
                  <c:v>108.97644633765125</c:v>
                </c:pt>
                <c:pt idx="278">
                  <c:v>108.94726371242577</c:v>
                </c:pt>
                <c:pt idx="279">
                  <c:v>108.91808890196798</c:v>
                </c:pt>
                <c:pt idx="280">
                  <c:v>108.88892190418522</c:v>
                </c:pt>
                <c:pt idx="281">
                  <c:v>108.85976271698534</c:v>
                </c:pt>
                <c:pt idx="282">
                  <c:v>108.83061133827674</c:v>
                </c:pt>
                <c:pt idx="283">
                  <c:v>108.80146776596841</c:v>
                </c:pt>
                <c:pt idx="284">
                  <c:v>108.77233199796987</c:v>
                </c:pt>
                <c:pt idx="285">
                  <c:v>108.74320403219126</c:v>
                </c:pt>
                <c:pt idx="286">
                  <c:v>108.71408386654318</c:v>
                </c:pt>
                <c:pt idx="287">
                  <c:v>108.68497149893687</c:v>
                </c:pt>
                <c:pt idx="288">
                  <c:v>108.65586692728412</c:v>
                </c:pt>
                <c:pt idx="289">
                  <c:v>108.62677014949725</c:v>
                </c:pt>
                <c:pt idx="290">
                  <c:v>108.59768116348914</c:v>
                </c:pt>
                <c:pt idx="291">
                  <c:v>108.56859996717327</c:v>
                </c:pt>
                <c:pt idx="292">
                  <c:v>108.53952655846363</c:v>
                </c:pt>
                <c:pt idx="293">
                  <c:v>108.51046093527479</c:v>
                </c:pt>
                <c:pt idx="294">
                  <c:v>108.4814030955219</c:v>
                </c:pt>
                <c:pt idx="295">
                  <c:v>108.45235303712063</c:v>
                </c:pt>
                <c:pt idx="296">
                  <c:v>108.42331075798721</c:v>
                </c:pt>
                <c:pt idx="297">
                  <c:v>108.39427625603847</c:v>
                </c:pt>
                <c:pt idx="298">
                  <c:v>108.36524952919176</c:v>
                </c:pt>
                <c:pt idx="299">
                  <c:v>108.33623057536499</c:v>
                </c:pt>
                <c:pt idx="300">
                  <c:v>108.30721939247664</c:v>
                </c:pt>
                <c:pt idx="301">
                  <c:v>108.27821597844576</c:v>
                </c:pt>
                <c:pt idx="302">
                  <c:v>108.24922033119192</c:v>
                </c:pt>
                <c:pt idx="303">
                  <c:v>108.22023244863527</c:v>
                </c:pt>
                <c:pt idx="304">
                  <c:v>108.19125232869651</c:v>
                </c:pt>
                <c:pt idx="305">
                  <c:v>108.16227996929692</c:v>
                </c:pt>
                <c:pt idx="306">
                  <c:v>108.1333153683583</c:v>
                </c:pt>
                <c:pt idx="307">
                  <c:v>108.10435852380303</c:v>
                </c:pt>
                <c:pt idx="308">
                  <c:v>108.07540943355404</c:v>
                </c:pt>
                <c:pt idx="309">
                  <c:v>108.04646809553483</c:v>
                </c:pt>
                <c:pt idx="310">
                  <c:v>108.01753450766942</c:v>
                </c:pt>
                <c:pt idx="311">
                  <c:v>107.98860866788243</c:v>
                </c:pt>
                <c:pt idx="312">
                  <c:v>107.959690574099</c:v>
                </c:pt>
                <c:pt idx="313">
                  <c:v>107.93078022424484</c:v>
                </c:pt>
                <c:pt idx="314">
                  <c:v>107.90187761624622</c:v>
                </c:pt>
                <c:pt idx="315">
                  <c:v>107.87298274802997</c:v>
                </c:pt>
                <c:pt idx="316">
                  <c:v>107.84409561752346</c:v>
                </c:pt>
                <c:pt idx="317">
                  <c:v>107.81521622265461</c:v>
                </c:pt>
                <c:pt idx="318">
                  <c:v>107.78634456135192</c:v>
                </c:pt>
                <c:pt idx="319">
                  <c:v>107.75748063154442</c:v>
                </c:pt>
                <c:pt idx="320">
                  <c:v>107.72862443116173</c:v>
                </c:pt>
                <c:pt idx="321">
                  <c:v>107.69977595813398</c:v>
                </c:pt>
                <c:pt idx="322">
                  <c:v>107.67093521039187</c:v>
                </c:pt>
                <c:pt idx="323">
                  <c:v>107.64210218586666</c:v>
                </c:pt>
                <c:pt idx="324">
                  <c:v>107.61327688249017</c:v>
                </c:pt>
                <c:pt idx="325">
                  <c:v>107.58445929819477</c:v>
                </c:pt>
                <c:pt idx="326">
                  <c:v>107.55564943091336</c:v>
                </c:pt>
                <c:pt idx="327">
                  <c:v>107.52684727857944</c:v>
                </c:pt>
                <c:pt idx="328">
                  <c:v>107.49805283912701</c:v>
                </c:pt>
                <c:pt idx="329">
                  <c:v>107.46926611049066</c:v>
                </c:pt>
                <c:pt idx="330">
                  <c:v>107.44048709060554</c:v>
                </c:pt>
                <c:pt idx="331">
                  <c:v>107.41171577740734</c:v>
                </c:pt>
                <c:pt idx="332">
                  <c:v>107.38295216883225</c:v>
                </c:pt>
                <c:pt idx="333">
                  <c:v>107.35419626281711</c:v>
                </c:pt>
                <c:pt idx="334">
                  <c:v>107.32544805729924</c:v>
                </c:pt>
                <c:pt idx="335">
                  <c:v>107.29670755021654</c:v>
                </c:pt>
                <c:pt idx="336">
                  <c:v>107.26797473950748</c:v>
                </c:pt>
                <c:pt idx="337">
                  <c:v>107.23924962311102</c:v>
                </c:pt>
                <c:pt idx="338">
                  <c:v>107.21053219896675</c:v>
                </c:pt>
                <c:pt idx="339">
                  <c:v>107.18182246501475</c:v>
                </c:pt>
                <c:pt idx="340">
                  <c:v>107.15312041919569</c:v>
                </c:pt>
                <c:pt idx="341">
                  <c:v>107.12442605945077</c:v>
                </c:pt>
                <c:pt idx="342">
                  <c:v>107.09573938372174</c:v>
                </c:pt>
                <c:pt idx="343">
                  <c:v>107.06706038995094</c:v>
                </c:pt>
                <c:pt idx="344">
                  <c:v>107.0383890760812</c:v>
                </c:pt>
                <c:pt idx="345">
                  <c:v>107.00972544005596</c:v>
                </c:pt>
                <c:pt idx="346">
                  <c:v>106.98106947981914</c:v>
                </c:pt>
                <c:pt idx="347">
                  <c:v>106.9524211933153</c:v>
                </c:pt>
                <c:pt idx="348">
                  <c:v>106.92378057848947</c:v>
                </c:pt>
                <c:pt idx="349">
                  <c:v>106.89514763328728</c:v>
                </c:pt>
                <c:pt idx="350">
                  <c:v>106.86652235565491</c:v>
                </c:pt>
                <c:pt idx="351">
                  <c:v>106.83790474353904</c:v>
                </c:pt>
                <c:pt idx="352">
                  <c:v>106.80929479488694</c:v>
                </c:pt>
                <c:pt idx="353">
                  <c:v>106.78069250764645</c:v>
                </c:pt>
                <c:pt idx="354">
                  <c:v>106.7520978797659</c:v>
                </c:pt>
                <c:pt idx="355">
                  <c:v>106.72351090919422</c:v>
                </c:pt>
                <c:pt idx="356">
                  <c:v>106.69493159388088</c:v>
                </c:pt>
                <c:pt idx="357">
                  <c:v>106.66635993177587</c:v>
                </c:pt>
                <c:pt idx="358">
                  <c:v>106.63779592082976</c:v>
                </c:pt>
                <c:pt idx="359">
                  <c:v>106.60923955899365</c:v>
                </c:pt>
                <c:pt idx="360">
                  <c:v>106.58069084421922</c:v>
                </c:pt>
                <c:pt idx="361">
                  <c:v>106.55214977445866</c:v>
                </c:pt>
                <c:pt idx="362">
                  <c:v>106.52361634766473</c:v>
                </c:pt>
                <c:pt idx="363">
                  <c:v>106.49509056179072</c:v>
                </c:pt>
                <c:pt idx="364">
                  <c:v>106.46657241479048</c:v>
                </c:pt>
                <c:pt idx="365">
                  <c:v>106.43806190461844</c:v>
                </c:pt>
                <c:pt idx="366">
                  <c:v>106.40955902922951</c:v>
                </c:pt>
                <c:pt idx="367">
                  <c:v>106.3810637865792</c:v>
                </c:pt>
                <c:pt idx="368">
                  <c:v>106.35257617462355</c:v>
                </c:pt>
                <c:pt idx="369">
                  <c:v>106.32409619131914</c:v>
                </c:pt>
                <c:pt idx="370">
                  <c:v>106.29562383462311</c:v>
                </c:pt>
                <c:pt idx="371">
                  <c:v>106.26715910249315</c:v>
                </c:pt>
                <c:pt idx="372">
                  <c:v>106.23870199288751</c:v>
                </c:pt>
                <c:pt idx="373">
                  <c:v>106.21025250376492</c:v>
                </c:pt>
                <c:pt idx="374">
                  <c:v>106.18181063308472</c:v>
                </c:pt>
                <c:pt idx="375">
                  <c:v>106.1533763788068</c:v>
                </c:pt>
                <c:pt idx="376">
                  <c:v>106.12494973889154</c:v>
                </c:pt>
                <c:pt idx="377">
                  <c:v>106.09653071129995</c:v>
                </c:pt>
                <c:pt idx="378">
                  <c:v>106.0681192939935</c:v>
                </c:pt>
                <c:pt idx="379">
                  <c:v>106.03971548493426</c:v>
                </c:pt>
                <c:pt idx="380">
                  <c:v>106.01131928208483</c:v>
                </c:pt>
                <c:pt idx="381">
                  <c:v>105.98293068340834</c:v>
                </c:pt>
                <c:pt idx="382">
                  <c:v>105.95454968686849</c:v>
                </c:pt>
                <c:pt idx="383">
                  <c:v>105.92617629042952</c:v>
                </c:pt>
                <c:pt idx="384">
                  <c:v>105.89781049205622</c:v>
                </c:pt>
                <c:pt idx="385">
                  <c:v>105.86945228971391</c:v>
                </c:pt>
                <c:pt idx="386">
                  <c:v>105.84110168136844</c:v>
                </c:pt>
                <c:pt idx="387">
                  <c:v>105.81275866498625</c:v>
                </c:pt>
                <c:pt idx="388">
                  <c:v>105.7844232385343</c:v>
                </c:pt>
                <c:pt idx="389">
                  <c:v>105.75609539998007</c:v>
                </c:pt>
                <c:pt idx="390">
                  <c:v>105.72777514729165</c:v>
                </c:pt>
                <c:pt idx="391">
                  <c:v>105.69946247843761</c:v>
                </c:pt>
                <c:pt idx="392">
                  <c:v>105.67115739138708</c:v>
                </c:pt>
                <c:pt idx="393">
                  <c:v>105.64285988410975</c:v>
                </c:pt>
                <c:pt idx="394">
                  <c:v>105.61456995457586</c:v>
                </c:pt>
                <c:pt idx="395">
                  <c:v>105.58628760075614</c:v>
                </c:pt>
                <c:pt idx="396">
                  <c:v>105.55801282062194</c:v>
                </c:pt>
                <c:pt idx="397">
                  <c:v>105.52974561214509</c:v>
                </c:pt>
                <c:pt idx="398">
                  <c:v>105.501485973298</c:v>
                </c:pt>
                <c:pt idx="399">
                  <c:v>105.47323390205362</c:v>
                </c:pt>
                <c:pt idx="400">
                  <c:v>105.44498939638542</c:v>
                </c:pt>
                <c:pt idx="401">
                  <c:v>105.41675245426742</c:v>
                </c:pt>
                <c:pt idx="402">
                  <c:v>105.38852307367421</c:v>
                </c:pt>
                <c:pt idx="403">
                  <c:v>105.36030125258088</c:v>
                </c:pt>
                <c:pt idx="404">
                  <c:v>105.33208698896311</c:v>
                </c:pt>
                <c:pt idx="405">
                  <c:v>105.30388028079706</c:v>
                </c:pt>
                <c:pt idx="406">
                  <c:v>105.27568112605951</c:v>
                </c:pt>
                <c:pt idx="407">
                  <c:v>105.24748952272772</c:v>
                </c:pt>
                <c:pt idx="408">
                  <c:v>105.21930546877948</c:v>
                </c:pt>
                <c:pt idx="409">
                  <c:v>105.1911289621932</c:v>
                </c:pt>
                <c:pt idx="410">
                  <c:v>105.16296000094779</c:v>
                </c:pt>
                <c:pt idx="411">
                  <c:v>105.13479858302263</c:v>
                </c:pt>
                <c:pt idx="412">
                  <c:v>105.10664470639777</c:v>
                </c:pt>
                <c:pt idx="413">
                  <c:v>105.07849836905372</c:v>
                </c:pt>
                <c:pt idx="414">
                  <c:v>105.05035956897153</c:v>
                </c:pt>
                <c:pt idx="415">
                  <c:v>105.02222830413285</c:v>
                </c:pt>
                <c:pt idx="416">
                  <c:v>104.99410457251977</c:v>
                </c:pt>
                <c:pt idx="417">
                  <c:v>104.96598837211504</c:v>
                </c:pt>
                <c:pt idx="418">
                  <c:v>104.93787970090185</c:v>
                </c:pt>
                <c:pt idx="419">
                  <c:v>104.90977855686398</c:v>
                </c:pt>
                <c:pt idx="420">
                  <c:v>104.88168493798574</c:v>
                </c:pt>
                <c:pt idx="421">
                  <c:v>104.85359884225198</c:v>
                </c:pt>
                <c:pt idx="422">
                  <c:v>104.8255202676481</c:v>
                </c:pt>
                <c:pt idx="423">
                  <c:v>104.79744921216002</c:v>
                </c:pt>
                <c:pt idx="424">
                  <c:v>104.76938567377421</c:v>
                </c:pt>
                <c:pt idx="425">
                  <c:v>104.74132965047768</c:v>
                </c:pt>
                <c:pt idx="426">
                  <c:v>104.71328114025796</c:v>
                </c:pt>
                <c:pt idx="427">
                  <c:v>104.68524014110315</c:v>
                </c:pt>
                <c:pt idx="428">
                  <c:v>104.65720665100189</c:v>
                </c:pt>
                <c:pt idx="429">
                  <c:v>104.6291806679433</c:v>
                </c:pt>
                <c:pt idx="430">
                  <c:v>104.60116218991712</c:v>
                </c:pt>
                <c:pt idx="431">
                  <c:v>104.57315121491358</c:v>
                </c:pt>
                <c:pt idx="432">
                  <c:v>104.54514774092344</c:v>
                </c:pt>
                <c:pt idx="433">
                  <c:v>104.51715176593804</c:v>
                </c:pt>
                <c:pt idx="434">
                  <c:v>104.48916328794921</c:v>
                </c:pt>
                <c:pt idx="435">
                  <c:v>104.46118230494936</c:v>
                </c:pt>
                <c:pt idx="436">
                  <c:v>104.43320881493142</c:v>
                </c:pt>
                <c:pt idx="437">
                  <c:v>104.40524281588884</c:v>
                </c:pt>
                <c:pt idx="438">
                  <c:v>104.37728430581565</c:v>
                </c:pt>
                <c:pt idx="439">
                  <c:v>104.34933328270637</c:v>
                </c:pt>
                <c:pt idx="440">
                  <c:v>104.32138974455607</c:v>
                </c:pt>
                <c:pt idx="441">
                  <c:v>104.29345368936039</c:v>
                </c:pt>
                <c:pt idx="442">
                  <c:v>104.26552511511547</c:v>
                </c:pt>
                <c:pt idx="443">
                  <c:v>104.23760401981799</c:v>
                </c:pt>
                <c:pt idx="444">
                  <c:v>104.2096904014652</c:v>
                </c:pt>
                <c:pt idx="445">
                  <c:v>104.18178425805482</c:v>
                </c:pt>
                <c:pt idx="446">
                  <c:v>104.15388558758519</c:v>
                </c:pt>
                <c:pt idx="447">
                  <c:v>104.12599438805512</c:v>
                </c:pt>
                <c:pt idx="448">
                  <c:v>104.09811065746398</c:v>
                </c:pt>
                <c:pt idx="449">
                  <c:v>104.07023439381169</c:v>
                </c:pt>
                <c:pt idx="450">
                  <c:v>104.04236559509867</c:v>
                </c:pt>
                <c:pt idx="451">
                  <c:v>104.01450425932592</c:v>
                </c:pt>
                <c:pt idx="452">
                  <c:v>103.98665038449492</c:v>
                </c:pt>
                <c:pt idx="453">
                  <c:v>103.95880396860774</c:v>
                </c:pt>
                <c:pt idx="454">
                  <c:v>103.93096500966696</c:v>
                </c:pt>
                <c:pt idx="455">
                  <c:v>103.90313350567568</c:v>
                </c:pt>
                <c:pt idx="456">
                  <c:v>103.87530945463757</c:v>
                </c:pt>
                <c:pt idx="457">
                  <c:v>103.8474928545568</c:v>
                </c:pt>
                <c:pt idx="458">
                  <c:v>103.81968370343812</c:v>
                </c:pt>
                <c:pt idx="459">
                  <c:v>103.79188199928676</c:v>
                </c:pt>
                <c:pt idx="460">
                  <c:v>103.76408774010851</c:v>
                </c:pt>
                <c:pt idx="461">
                  <c:v>103.73630092390968</c:v>
                </c:pt>
                <c:pt idx="462">
                  <c:v>103.70852154869716</c:v>
                </c:pt>
                <c:pt idx="463">
                  <c:v>103.68074961247831</c:v>
                </c:pt>
                <c:pt idx="464">
                  <c:v>103.65298511326107</c:v>
                </c:pt>
                <c:pt idx="465">
                  <c:v>103.62522804905389</c:v>
                </c:pt>
                <c:pt idx="466">
                  <c:v>103.59747841786579</c:v>
                </c:pt>
                <c:pt idx="467">
                  <c:v>103.56973621770624</c:v>
                </c:pt>
                <c:pt idx="468">
                  <c:v>103.54200144658533</c:v>
                </c:pt>
                <c:pt idx="469">
                  <c:v>103.51427410251365</c:v>
                </c:pt>
                <c:pt idx="470">
                  <c:v>103.48655418350231</c:v>
                </c:pt>
                <c:pt idx="471">
                  <c:v>103.45884168756298</c:v>
                </c:pt>
                <c:pt idx="472">
                  <c:v>103.43113661270785</c:v>
                </c:pt>
                <c:pt idx="473">
                  <c:v>103.40343895694961</c:v>
                </c:pt>
                <c:pt idx="474">
                  <c:v>103.37574871830155</c:v>
                </c:pt>
                <c:pt idx="475">
                  <c:v>103.34806589477742</c:v>
                </c:pt>
                <c:pt idx="476">
                  <c:v>103.32039048439157</c:v>
                </c:pt>
                <c:pt idx="477">
                  <c:v>103.29272248515882</c:v>
                </c:pt>
                <c:pt idx="478">
                  <c:v>103.26506189509456</c:v>
                </c:pt>
                <c:pt idx="479">
                  <c:v>103.2374087122147</c:v>
                </c:pt>
                <c:pt idx="480">
                  <c:v>103.20976293453569</c:v>
                </c:pt>
                <c:pt idx="481">
                  <c:v>103.1821245600745</c:v>
                </c:pt>
                <c:pt idx="482">
                  <c:v>103.15449358684862</c:v>
                </c:pt>
                <c:pt idx="483">
                  <c:v>103.1268700128761</c:v>
                </c:pt>
                <c:pt idx="484">
                  <c:v>103.09925383617549</c:v>
                </c:pt>
                <c:pt idx="485">
                  <c:v>103.07164505476592</c:v>
                </c:pt>
                <c:pt idx="486">
                  <c:v>103.04404366666699</c:v>
                </c:pt>
                <c:pt idx="487">
                  <c:v>103.01644966989885</c:v>
                </c:pt>
                <c:pt idx="488">
                  <c:v>102.98886306248221</c:v>
                </c:pt>
                <c:pt idx="489">
                  <c:v>102.96128384243828</c:v>
                </c:pt>
                <c:pt idx="490">
                  <c:v>102.9337120077888</c:v>
                </c:pt>
                <c:pt idx="491">
                  <c:v>102.90614755655605</c:v>
                </c:pt>
                <c:pt idx="492">
                  <c:v>102.87859048676285</c:v>
                </c:pt>
                <c:pt idx="493">
                  <c:v>102.85104079643251</c:v>
                </c:pt>
                <c:pt idx="494">
                  <c:v>102.82349848358893</c:v>
                </c:pt>
                <c:pt idx="495">
                  <c:v>102.79596354625647</c:v>
                </c:pt>
                <c:pt idx="496">
                  <c:v>102.76843598246009</c:v>
                </c:pt>
                <c:pt idx="497">
                  <c:v>102.7409157902252</c:v>
                </c:pt>
                <c:pt idx="498">
                  <c:v>102.71340296757782</c:v>
                </c:pt>
                <c:pt idx="499">
                  <c:v>102.68589751254444</c:v>
                </c:pt>
                <c:pt idx="500">
                  <c:v>102.6583994231521</c:v>
                </c:pt>
                <c:pt idx="501">
                  <c:v>102.63090869742837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9-4658-9691-6B77A0FC5989}"/>
            </c:ext>
          </c:extLst>
        </c:ser>
        <c:ser>
          <c:idx val="3"/>
          <c:order val="3"/>
          <c:tx>
            <c:v>IC Sup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MME!$B$2:$B$503</c:f>
              <c:numCache>
                <c:formatCode>m/d/yyyy</c:formatCode>
                <c:ptCount val="502"/>
                <c:pt idx="0">
                  <c:v>44707</c:v>
                </c:pt>
                <c:pt idx="1">
                  <c:v>44708</c:v>
                </c:pt>
                <c:pt idx="2">
                  <c:v>44712</c:v>
                </c:pt>
                <c:pt idx="3">
                  <c:v>44713</c:v>
                </c:pt>
                <c:pt idx="4">
                  <c:v>44714</c:v>
                </c:pt>
                <c:pt idx="5">
                  <c:v>44715</c:v>
                </c:pt>
                <c:pt idx="6">
                  <c:v>44718</c:v>
                </c:pt>
                <c:pt idx="7">
                  <c:v>44719</c:v>
                </c:pt>
                <c:pt idx="8">
                  <c:v>44720</c:v>
                </c:pt>
                <c:pt idx="9">
                  <c:v>44721</c:v>
                </c:pt>
                <c:pt idx="10">
                  <c:v>44722</c:v>
                </c:pt>
                <c:pt idx="11">
                  <c:v>44725</c:v>
                </c:pt>
                <c:pt idx="12">
                  <c:v>44726</c:v>
                </c:pt>
                <c:pt idx="13">
                  <c:v>44727</c:v>
                </c:pt>
                <c:pt idx="14">
                  <c:v>44728</c:v>
                </c:pt>
                <c:pt idx="15">
                  <c:v>44729</c:v>
                </c:pt>
                <c:pt idx="16">
                  <c:v>44733</c:v>
                </c:pt>
                <c:pt idx="17">
                  <c:v>44734</c:v>
                </c:pt>
                <c:pt idx="18">
                  <c:v>44735</c:v>
                </c:pt>
                <c:pt idx="19">
                  <c:v>44736</c:v>
                </c:pt>
                <c:pt idx="20">
                  <c:v>44739</c:v>
                </c:pt>
                <c:pt idx="21">
                  <c:v>44740</c:v>
                </c:pt>
                <c:pt idx="22">
                  <c:v>44741</c:v>
                </c:pt>
                <c:pt idx="23">
                  <c:v>44742</c:v>
                </c:pt>
                <c:pt idx="24">
                  <c:v>44743</c:v>
                </c:pt>
                <c:pt idx="25">
                  <c:v>44747</c:v>
                </c:pt>
                <c:pt idx="26">
                  <c:v>44748</c:v>
                </c:pt>
                <c:pt idx="27">
                  <c:v>44749</c:v>
                </c:pt>
                <c:pt idx="28">
                  <c:v>44750</c:v>
                </c:pt>
                <c:pt idx="29">
                  <c:v>44753</c:v>
                </c:pt>
                <c:pt idx="30">
                  <c:v>44754</c:v>
                </c:pt>
                <c:pt idx="31">
                  <c:v>44755</c:v>
                </c:pt>
                <c:pt idx="32">
                  <c:v>44756</c:v>
                </c:pt>
                <c:pt idx="33">
                  <c:v>44757</c:v>
                </c:pt>
                <c:pt idx="34">
                  <c:v>44760</c:v>
                </c:pt>
                <c:pt idx="35">
                  <c:v>44761</c:v>
                </c:pt>
                <c:pt idx="36">
                  <c:v>44762</c:v>
                </c:pt>
                <c:pt idx="37">
                  <c:v>44763</c:v>
                </c:pt>
                <c:pt idx="38">
                  <c:v>44764</c:v>
                </c:pt>
                <c:pt idx="39">
                  <c:v>44767</c:v>
                </c:pt>
                <c:pt idx="40">
                  <c:v>44768</c:v>
                </c:pt>
                <c:pt idx="41">
                  <c:v>44769</c:v>
                </c:pt>
                <c:pt idx="42">
                  <c:v>44770</c:v>
                </c:pt>
                <c:pt idx="43">
                  <c:v>44771</c:v>
                </c:pt>
                <c:pt idx="44">
                  <c:v>44774</c:v>
                </c:pt>
                <c:pt idx="45">
                  <c:v>44775</c:v>
                </c:pt>
                <c:pt idx="46">
                  <c:v>44776</c:v>
                </c:pt>
                <c:pt idx="47">
                  <c:v>44777</c:v>
                </c:pt>
                <c:pt idx="48">
                  <c:v>44778</c:v>
                </c:pt>
                <c:pt idx="49">
                  <c:v>44781</c:v>
                </c:pt>
                <c:pt idx="50">
                  <c:v>44782</c:v>
                </c:pt>
                <c:pt idx="51">
                  <c:v>44783</c:v>
                </c:pt>
                <c:pt idx="52">
                  <c:v>44784</c:v>
                </c:pt>
                <c:pt idx="53">
                  <c:v>44785</c:v>
                </c:pt>
                <c:pt idx="54">
                  <c:v>44788</c:v>
                </c:pt>
                <c:pt idx="55">
                  <c:v>44789</c:v>
                </c:pt>
                <c:pt idx="56">
                  <c:v>44790</c:v>
                </c:pt>
                <c:pt idx="57">
                  <c:v>44791</c:v>
                </c:pt>
                <c:pt idx="58">
                  <c:v>44792</c:v>
                </c:pt>
                <c:pt idx="59">
                  <c:v>44795</c:v>
                </c:pt>
                <c:pt idx="60">
                  <c:v>44796</c:v>
                </c:pt>
                <c:pt idx="61">
                  <c:v>44797</c:v>
                </c:pt>
                <c:pt idx="62">
                  <c:v>44798</c:v>
                </c:pt>
                <c:pt idx="63">
                  <c:v>44799</c:v>
                </c:pt>
                <c:pt idx="64">
                  <c:v>44802</c:v>
                </c:pt>
                <c:pt idx="65">
                  <c:v>44803</c:v>
                </c:pt>
                <c:pt idx="66">
                  <c:v>44804</c:v>
                </c:pt>
                <c:pt idx="67">
                  <c:v>44805</c:v>
                </c:pt>
                <c:pt idx="68">
                  <c:v>44806</c:v>
                </c:pt>
                <c:pt idx="69">
                  <c:v>44810</c:v>
                </c:pt>
                <c:pt idx="70">
                  <c:v>44811</c:v>
                </c:pt>
                <c:pt idx="71">
                  <c:v>44812</c:v>
                </c:pt>
                <c:pt idx="72">
                  <c:v>44813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44830</c:v>
                </c:pt>
                <c:pt idx="84">
                  <c:v>44831</c:v>
                </c:pt>
                <c:pt idx="85">
                  <c:v>44832</c:v>
                </c:pt>
                <c:pt idx="86">
                  <c:v>44833</c:v>
                </c:pt>
                <c:pt idx="87">
                  <c:v>44834</c:v>
                </c:pt>
                <c:pt idx="88">
                  <c:v>44837</c:v>
                </c:pt>
                <c:pt idx="89">
                  <c:v>44838</c:v>
                </c:pt>
                <c:pt idx="90">
                  <c:v>44839</c:v>
                </c:pt>
                <c:pt idx="91">
                  <c:v>44840</c:v>
                </c:pt>
                <c:pt idx="92">
                  <c:v>44841</c:v>
                </c:pt>
                <c:pt idx="93">
                  <c:v>44844</c:v>
                </c:pt>
                <c:pt idx="94">
                  <c:v>44845</c:v>
                </c:pt>
                <c:pt idx="95">
                  <c:v>44846</c:v>
                </c:pt>
                <c:pt idx="96">
                  <c:v>44847</c:v>
                </c:pt>
                <c:pt idx="97">
                  <c:v>44848</c:v>
                </c:pt>
                <c:pt idx="98">
                  <c:v>44851</c:v>
                </c:pt>
                <c:pt idx="99">
                  <c:v>44852</c:v>
                </c:pt>
                <c:pt idx="100">
                  <c:v>44853</c:v>
                </c:pt>
                <c:pt idx="101">
                  <c:v>44854</c:v>
                </c:pt>
                <c:pt idx="102">
                  <c:v>44855</c:v>
                </c:pt>
                <c:pt idx="103">
                  <c:v>44858</c:v>
                </c:pt>
                <c:pt idx="104">
                  <c:v>44859</c:v>
                </c:pt>
                <c:pt idx="105">
                  <c:v>44860</c:v>
                </c:pt>
                <c:pt idx="106">
                  <c:v>44861</c:v>
                </c:pt>
                <c:pt idx="107">
                  <c:v>44862</c:v>
                </c:pt>
                <c:pt idx="108">
                  <c:v>44865</c:v>
                </c:pt>
                <c:pt idx="109">
                  <c:v>44866</c:v>
                </c:pt>
                <c:pt idx="110">
                  <c:v>44867</c:v>
                </c:pt>
                <c:pt idx="111">
                  <c:v>44868</c:v>
                </c:pt>
                <c:pt idx="112">
                  <c:v>44869</c:v>
                </c:pt>
                <c:pt idx="113">
                  <c:v>44872</c:v>
                </c:pt>
                <c:pt idx="114">
                  <c:v>44873</c:v>
                </c:pt>
                <c:pt idx="115">
                  <c:v>44874</c:v>
                </c:pt>
                <c:pt idx="116">
                  <c:v>44875</c:v>
                </c:pt>
                <c:pt idx="117">
                  <c:v>44876</c:v>
                </c:pt>
                <c:pt idx="118">
                  <c:v>44879</c:v>
                </c:pt>
                <c:pt idx="119">
                  <c:v>44880</c:v>
                </c:pt>
                <c:pt idx="120">
                  <c:v>44881</c:v>
                </c:pt>
                <c:pt idx="121">
                  <c:v>44882</c:v>
                </c:pt>
                <c:pt idx="122">
                  <c:v>44883</c:v>
                </c:pt>
                <c:pt idx="123">
                  <c:v>44886</c:v>
                </c:pt>
                <c:pt idx="124">
                  <c:v>44887</c:v>
                </c:pt>
                <c:pt idx="125">
                  <c:v>44888</c:v>
                </c:pt>
                <c:pt idx="126">
                  <c:v>44890</c:v>
                </c:pt>
                <c:pt idx="127">
                  <c:v>44893</c:v>
                </c:pt>
                <c:pt idx="128">
                  <c:v>44894</c:v>
                </c:pt>
                <c:pt idx="129">
                  <c:v>44895</c:v>
                </c:pt>
                <c:pt idx="130">
                  <c:v>44896</c:v>
                </c:pt>
                <c:pt idx="131">
                  <c:v>44897</c:v>
                </c:pt>
                <c:pt idx="132">
                  <c:v>44900</c:v>
                </c:pt>
                <c:pt idx="133">
                  <c:v>44901</c:v>
                </c:pt>
                <c:pt idx="134">
                  <c:v>44902</c:v>
                </c:pt>
                <c:pt idx="135">
                  <c:v>44903</c:v>
                </c:pt>
                <c:pt idx="136">
                  <c:v>44904</c:v>
                </c:pt>
                <c:pt idx="137">
                  <c:v>44907</c:v>
                </c:pt>
                <c:pt idx="138">
                  <c:v>44908</c:v>
                </c:pt>
                <c:pt idx="139">
                  <c:v>44909</c:v>
                </c:pt>
                <c:pt idx="140">
                  <c:v>44910</c:v>
                </c:pt>
                <c:pt idx="141">
                  <c:v>44911</c:v>
                </c:pt>
                <c:pt idx="142">
                  <c:v>44914</c:v>
                </c:pt>
                <c:pt idx="143">
                  <c:v>44915</c:v>
                </c:pt>
                <c:pt idx="144">
                  <c:v>44916</c:v>
                </c:pt>
                <c:pt idx="145">
                  <c:v>44917</c:v>
                </c:pt>
                <c:pt idx="146">
                  <c:v>44918</c:v>
                </c:pt>
                <c:pt idx="147">
                  <c:v>44922</c:v>
                </c:pt>
                <c:pt idx="148">
                  <c:v>44923</c:v>
                </c:pt>
                <c:pt idx="149">
                  <c:v>44924</c:v>
                </c:pt>
                <c:pt idx="150">
                  <c:v>44925</c:v>
                </c:pt>
                <c:pt idx="151">
                  <c:v>44929</c:v>
                </c:pt>
                <c:pt idx="152">
                  <c:v>44930</c:v>
                </c:pt>
                <c:pt idx="153">
                  <c:v>44931</c:v>
                </c:pt>
                <c:pt idx="154">
                  <c:v>44932</c:v>
                </c:pt>
                <c:pt idx="155">
                  <c:v>44935</c:v>
                </c:pt>
                <c:pt idx="156">
                  <c:v>44936</c:v>
                </c:pt>
                <c:pt idx="157">
                  <c:v>44937</c:v>
                </c:pt>
                <c:pt idx="158">
                  <c:v>44938</c:v>
                </c:pt>
                <c:pt idx="159">
                  <c:v>44939</c:v>
                </c:pt>
                <c:pt idx="160">
                  <c:v>44943</c:v>
                </c:pt>
                <c:pt idx="161">
                  <c:v>44944</c:v>
                </c:pt>
                <c:pt idx="162">
                  <c:v>44945</c:v>
                </c:pt>
                <c:pt idx="163">
                  <c:v>44946</c:v>
                </c:pt>
                <c:pt idx="164">
                  <c:v>44949</c:v>
                </c:pt>
                <c:pt idx="165">
                  <c:v>44950</c:v>
                </c:pt>
                <c:pt idx="166">
                  <c:v>44951</c:v>
                </c:pt>
                <c:pt idx="167">
                  <c:v>44952</c:v>
                </c:pt>
                <c:pt idx="168">
                  <c:v>44953</c:v>
                </c:pt>
                <c:pt idx="169">
                  <c:v>44956</c:v>
                </c:pt>
                <c:pt idx="170">
                  <c:v>44957</c:v>
                </c:pt>
                <c:pt idx="171">
                  <c:v>44958</c:v>
                </c:pt>
                <c:pt idx="172">
                  <c:v>44959</c:v>
                </c:pt>
                <c:pt idx="173">
                  <c:v>44960</c:v>
                </c:pt>
                <c:pt idx="174">
                  <c:v>44963</c:v>
                </c:pt>
                <c:pt idx="175">
                  <c:v>44964</c:v>
                </c:pt>
                <c:pt idx="176">
                  <c:v>44965</c:v>
                </c:pt>
                <c:pt idx="177">
                  <c:v>44966</c:v>
                </c:pt>
                <c:pt idx="178">
                  <c:v>44967</c:v>
                </c:pt>
                <c:pt idx="179">
                  <c:v>44970</c:v>
                </c:pt>
                <c:pt idx="180">
                  <c:v>44971</c:v>
                </c:pt>
                <c:pt idx="181">
                  <c:v>44972</c:v>
                </c:pt>
                <c:pt idx="182">
                  <c:v>44973</c:v>
                </c:pt>
                <c:pt idx="183">
                  <c:v>44974</c:v>
                </c:pt>
                <c:pt idx="184">
                  <c:v>44978</c:v>
                </c:pt>
                <c:pt idx="185">
                  <c:v>44979</c:v>
                </c:pt>
                <c:pt idx="186">
                  <c:v>44980</c:v>
                </c:pt>
                <c:pt idx="187">
                  <c:v>44981</c:v>
                </c:pt>
                <c:pt idx="188">
                  <c:v>44984</c:v>
                </c:pt>
                <c:pt idx="189">
                  <c:v>44985</c:v>
                </c:pt>
                <c:pt idx="190">
                  <c:v>44986</c:v>
                </c:pt>
                <c:pt idx="191">
                  <c:v>44987</c:v>
                </c:pt>
                <c:pt idx="192">
                  <c:v>44988</c:v>
                </c:pt>
                <c:pt idx="193">
                  <c:v>44991</c:v>
                </c:pt>
                <c:pt idx="194">
                  <c:v>44992</c:v>
                </c:pt>
                <c:pt idx="195">
                  <c:v>44993</c:v>
                </c:pt>
                <c:pt idx="196">
                  <c:v>44994</c:v>
                </c:pt>
                <c:pt idx="197">
                  <c:v>44995</c:v>
                </c:pt>
                <c:pt idx="198">
                  <c:v>44998</c:v>
                </c:pt>
                <c:pt idx="199">
                  <c:v>44999</c:v>
                </c:pt>
                <c:pt idx="200">
                  <c:v>45000</c:v>
                </c:pt>
                <c:pt idx="201">
                  <c:v>45001</c:v>
                </c:pt>
                <c:pt idx="202">
                  <c:v>45002</c:v>
                </c:pt>
                <c:pt idx="203">
                  <c:v>45005</c:v>
                </c:pt>
                <c:pt idx="204">
                  <c:v>45006</c:v>
                </c:pt>
                <c:pt idx="205">
                  <c:v>45007</c:v>
                </c:pt>
                <c:pt idx="206">
                  <c:v>45008</c:v>
                </c:pt>
                <c:pt idx="207">
                  <c:v>45009</c:v>
                </c:pt>
                <c:pt idx="208">
                  <c:v>45012</c:v>
                </c:pt>
                <c:pt idx="209">
                  <c:v>45013</c:v>
                </c:pt>
                <c:pt idx="210">
                  <c:v>45014</c:v>
                </c:pt>
                <c:pt idx="211">
                  <c:v>45015</c:v>
                </c:pt>
                <c:pt idx="212">
                  <c:v>45016</c:v>
                </c:pt>
                <c:pt idx="213">
                  <c:v>45019</c:v>
                </c:pt>
                <c:pt idx="214">
                  <c:v>45020</c:v>
                </c:pt>
                <c:pt idx="215">
                  <c:v>45021</c:v>
                </c:pt>
                <c:pt idx="216">
                  <c:v>45022</c:v>
                </c:pt>
                <c:pt idx="217">
                  <c:v>45026</c:v>
                </c:pt>
                <c:pt idx="218">
                  <c:v>45027</c:v>
                </c:pt>
                <c:pt idx="219">
                  <c:v>45028</c:v>
                </c:pt>
                <c:pt idx="220">
                  <c:v>45029</c:v>
                </c:pt>
                <c:pt idx="221">
                  <c:v>45030</c:v>
                </c:pt>
                <c:pt idx="222">
                  <c:v>45033</c:v>
                </c:pt>
                <c:pt idx="223">
                  <c:v>45034</c:v>
                </c:pt>
                <c:pt idx="224">
                  <c:v>45035</c:v>
                </c:pt>
                <c:pt idx="225">
                  <c:v>45036</c:v>
                </c:pt>
                <c:pt idx="226">
                  <c:v>45037</c:v>
                </c:pt>
                <c:pt idx="227">
                  <c:v>45040</c:v>
                </c:pt>
                <c:pt idx="228">
                  <c:v>45041</c:v>
                </c:pt>
                <c:pt idx="229">
                  <c:v>45042</c:v>
                </c:pt>
                <c:pt idx="230">
                  <c:v>45043</c:v>
                </c:pt>
                <c:pt idx="231">
                  <c:v>45044</c:v>
                </c:pt>
                <c:pt idx="232">
                  <c:v>45047</c:v>
                </c:pt>
                <c:pt idx="233">
                  <c:v>45048</c:v>
                </c:pt>
                <c:pt idx="234">
                  <c:v>45049</c:v>
                </c:pt>
                <c:pt idx="235">
                  <c:v>45050</c:v>
                </c:pt>
                <c:pt idx="236">
                  <c:v>45051</c:v>
                </c:pt>
                <c:pt idx="237">
                  <c:v>45054</c:v>
                </c:pt>
                <c:pt idx="238">
                  <c:v>45055</c:v>
                </c:pt>
                <c:pt idx="239">
                  <c:v>45056</c:v>
                </c:pt>
                <c:pt idx="240">
                  <c:v>45057</c:v>
                </c:pt>
                <c:pt idx="241">
                  <c:v>45058</c:v>
                </c:pt>
                <c:pt idx="242">
                  <c:v>45061</c:v>
                </c:pt>
                <c:pt idx="243">
                  <c:v>45062</c:v>
                </c:pt>
                <c:pt idx="244">
                  <c:v>45063</c:v>
                </c:pt>
                <c:pt idx="245">
                  <c:v>45064</c:v>
                </c:pt>
                <c:pt idx="246">
                  <c:v>45065</c:v>
                </c:pt>
                <c:pt idx="247">
                  <c:v>45068</c:v>
                </c:pt>
                <c:pt idx="248">
                  <c:v>45069</c:v>
                </c:pt>
                <c:pt idx="249">
                  <c:v>45070</c:v>
                </c:pt>
                <c:pt idx="250">
                  <c:v>45071</c:v>
                </c:pt>
                <c:pt idx="251">
                  <c:v>45072</c:v>
                </c:pt>
                <c:pt idx="252">
                  <c:v>45076</c:v>
                </c:pt>
                <c:pt idx="253">
                  <c:v>45077</c:v>
                </c:pt>
                <c:pt idx="254">
                  <c:v>45078</c:v>
                </c:pt>
                <c:pt idx="255">
                  <c:v>45079</c:v>
                </c:pt>
                <c:pt idx="256">
                  <c:v>45082</c:v>
                </c:pt>
                <c:pt idx="257">
                  <c:v>45083</c:v>
                </c:pt>
                <c:pt idx="258">
                  <c:v>45084</c:v>
                </c:pt>
                <c:pt idx="259">
                  <c:v>45085</c:v>
                </c:pt>
                <c:pt idx="260">
                  <c:v>45086</c:v>
                </c:pt>
                <c:pt idx="261">
                  <c:v>45089</c:v>
                </c:pt>
                <c:pt idx="262">
                  <c:v>45090</c:v>
                </c:pt>
                <c:pt idx="263">
                  <c:v>45091</c:v>
                </c:pt>
                <c:pt idx="264">
                  <c:v>45092</c:v>
                </c:pt>
                <c:pt idx="265">
                  <c:v>45093</c:v>
                </c:pt>
                <c:pt idx="266">
                  <c:v>45097</c:v>
                </c:pt>
                <c:pt idx="267">
                  <c:v>45098</c:v>
                </c:pt>
                <c:pt idx="268">
                  <c:v>45099</c:v>
                </c:pt>
                <c:pt idx="269">
                  <c:v>45100</c:v>
                </c:pt>
                <c:pt idx="270">
                  <c:v>45103</c:v>
                </c:pt>
                <c:pt idx="271">
                  <c:v>45104</c:v>
                </c:pt>
                <c:pt idx="272">
                  <c:v>45105</c:v>
                </c:pt>
                <c:pt idx="273">
                  <c:v>45106</c:v>
                </c:pt>
                <c:pt idx="274">
                  <c:v>45107</c:v>
                </c:pt>
                <c:pt idx="275">
                  <c:v>45110</c:v>
                </c:pt>
                <c:pt idx="276">
                  <c:v>45112</c:v>
                </c:pt>
                <c:pt idx="277">
                  <c:v>45113</c:v>
                </c:pt>
                <c:pt idx="278">
                  <c:v>45114</c:v>
                </c:pt>
                <c:pt idx="279">
                  <c:v>45117</c:v>
                </c:pt>
                <c:pt idx="280">
                  <c:v>45118</c:v>
                </c:pt>
                <c:pt idx="281">
                  <c:v>45119</c:v>
                </c:pt>
                <c:pt idx="282">
                  <c:v>45120</c:v>
                </c:pt>
                <c:pt idx="283">
                  <c:v>45121</c:v>
                </c:pt>
                <c:pt idx="284">
                  <c:v>45124</c:v>
                </c:pt>
                <c:pt idx="285">
                  <c:v>45125</c:v>
                </c:pt>
                <c:pt idx="286">
                  <c:v>45126</c:v>
                </c:pt>
                <c:pt idx="287">
                  <c:v>45127</c:v>
                </c:pt>
                <c:pt idx="288">
                  <c:v>45128</c:v>
                </c:pt>
                <c:pt idx="289">
                  <c:v>45131</c:v>
                </c:pt>
                <c:pt idx="290">
                  <c:v>45132</c:v>
                </c:pt>
                <c:pt idx="291">
                  <c:v>45133</c:v>
                </c:pt>
                <c:pt idx="292">
                  <c:v>45134</c:v>
                </c:pt>
                <c:pt idx="293">
                  <c:v>45135</c:v>
                </c:pt>
                <c:pt idx="294">
                  <c:v>45138</c:v>
                </c:pt>
                <c:pt idx="295">
                  <c:v>45139</c:v>
                </c:pt>
                <c:pt idx="296">
                  <c:v>45140</c:v>
                </c:pt>
                <c:pt idx="297">
                  <c:v>45141</c:v>
                </c:pt>
                <c:pt idx="298">
                  <c:v>45142</c:v>
                </c:pt>
                <c:pt idx="299">
                  <c:v>45145</c:v>
                </c:pt>
                <c:pt idx="300">
                  <c:v>45146</c:v>
                </c:pt>
                <c:pt idx="301">
                  <c:v>45147</c:v>
                </c:pt>
                <c:pt idx="302">
                  <c:v>45148</c:v>
                </c:pt>
                <c:pt idx="303">
                  <c:v>45149</c:v>
                </c:pt>
                <c:pt idx="304">
                  <c:v>45152</c:v>
                </c:pt>
                <c:pt idx="305">
                  <c:v>45153</c:v>
                </c:pt>
                <c:pt idx="306">
                  <c:v>45154</c:v>
                </c:pt>
                <c:pt idx="307">
                  <c:v>45155</c:v>
                </c:pt>
                <c:pt idx="308">
                  <c:v>45156</c:v>
                </c:pt>
                <c:pt idx="309">
                  <c:v>45159</c:v>
                </c:pt>
                <c:pt idx="310">
                  <c:v>45160</c:v>
                </c:pt>
                <c:pt idx="311">
                  <c:v>45161</c:v>
                </c:pt>
                <c:pt idx="312">
                  <c:v>45162</c:v>
                </c:pt>
                <c:pt idx="313">
                  <c:v>45163</c:v>
                </c:pt>
                <c:pt idx="314">
                  <c:v>45166</c:v>
                </c:pt>
                <c:pt idx="315">
                  <c:v>45167</c:v>
                </c:pt>
                <c:pt idx="316">
                  <c:v>45168</c:v>
                </c:pt>
                <c:pt idx="317">
                  <c:v>45169</c:v>
                </c:pt>
                <c:pt idx="318">
                  <c:v>45170</c:v>
                </c:pt>
                <c:pt idx="319">
                  <c:v>45174</c:v>
                </c:pt>
                <c:pt idx="320">
                  <c:v>45175</c:v>
                </c:pt>
                <c:pt idx="321">
                  <c:v>45176</c:v>
                </c:pt>
                <c:pt idx="322">
                  <c:v>45177</c:v>
                </c:pt>
                <c:pt idx="323">
                  <c:v>45180</c:v>
                </c:pt>
                <c:pt idx="324">
                  <c:v>45181</c:v>
                </c:pt>
                <c:pt idx="325">
                  <c:v>45182</c:v>
                </c:pt>
                <c:pt idx="326">
                  <c:v>45183</c:v>
                </c:pt>
                <c:pt idx="327">
                  <c:v>45184</c:v>
                </c:pt>
                <c:pt idx="328">
                  <c:v>45187</c:v>
                </c:pt>
                <c:pt idx="329">
                  <c:v>45188</c:v>
                </c:pt>
                <c:pt idx="330">
                  <c:v>45189</c:v>
                </c:pt>
                <c:pt idx="331">
                  <c:v>45190</c:v>
                </c:pt>
                <c:pt idx="332">
                  <c:v>45191</c:v>
                </c:pt>
                <c:pt idx="333">
                  <c:v>45194</c:v>
                </c:pt>
                <c:pt idx="334">
                  <c:v>45195</c:v>
                </c:pt>
                <c:pt idx="335">
                  <c:v>45196</c:v>
                </c:pt>
                <c:pt idx="336">
                  <c:v>45197</c:v>
                </c:pt>
                <c:pt idx="337">
                  <c:v>45198</c:v>
                </c:pt>
                <c:pt idx="338">
                  <c:v>45201</c:v>
                </c:pt>
                <c:pt idx="339">
                  <c:v>45202</c:v>
                </c:pt>
                <c:pt idx="340">
                  <c:v>45203</c:v>
                </c:pt>
                <c:pt idx="341">
                  <c:v>45204</c:v>
                </c:pt>
                <c:pt idx="342">
                  <c:v>45205</c:v>
                </c:pt>
                <c:pt idx="343">
                  <c:v>45208</c:v>
                </c:pt>
                <c:pt idx="344">
                  <c:v>45209</c:v>
                </c:pt>
                <c:pt idx="345">
                  <c:v>45210</c:v>
                </c:pt>
                <c:pt idx="346">
                  <c:v>45211</c:v>
                </c:pt>
                <c:pt idx="347">
                  <c:v>45212</c:v>
                </c:pt>
                <c:pt idx="348">
                  <c:v>45215</c:v>
                </c:pt>
                <c:pt idx="349">
                  <c:v>45216</c:v>
                </c:pt>
                <c:pt idx="350">
                  <c:v>45217</c:v>
                </c:pt>
                <c:pt idx="351">
                  <c:v>45218</c:v>
                </c:pt>
                <c:pt idx="352">
                  <c:v>45219</c:v>
                </c:pt>
                <c:pt idx="353">
                  <c:v>45222</c:v>
                </c:pt>
                <c:pt idx="354">
                  <c:v>45223</c:v>
                </c:pt>
                <c:pt idx="355">
                  <c:v>45224</c:v>
                </c:pt>
                <c:pt idx="356">
                  <c:v>45225</c:v>
                </c:pt>
                <c:pt idx="357">
                  <c:v>45226</c:v>
                </c:pt>
                <c:pt idx="358">
                  <c:v>45229</c:v>
                </c:pt>
                <c:pt idx="359">
                  <c:v>45230</c:v>
                </c:pt>
                <c:pt idx="360">
                  <c:v>45231</c:v>
                </c:pt>
                <c:pt idx="361">
                  <c:v>45232</c:v>
                </c:pt>
                <c:pt idx="362">
                  <c:v>45233</c:v>
                </c:pt>
                <c:pt idx="363">
                  <c:v>45236</c:v>
                </c:pt>
                <c:pt idx="364">
                  <c:v>45237</c:v>
                </c:pt>
                <c:pt idx="365">
                  <c:v>45238</c:v>
                </c:pt>
                <c:pt idx="366">
                  <c:v>45239</c:v>
                </c:pt>
                <c:pt idx="367">
                  <c:v>45240</c:v>
                </c:pt>
                <c:pt idx="368">
                  <c:v>45243</c:v>
                </c:pt>
                <c:pt idx="369">
                  <c:v>45244</c:v>
                </c:pt>
                <c:pt idx="370">
                  <c:v>45245</c:v>
                </c:pt>
                <c:pt idx="371">
                  <c:v>45246</c:v>
                </c:pt>
                <c:pt idx="372">
                  <c:v>45247</c:v>
                </c:pt>
                <c:pt idx="373">
                  <c:v>45250</c:v>
                </c:pt>
                <c:pt idx="374">
                  <c:v>45251</c:v>
                </c:pt>
                <c:pt idx="375">
                  <c:v>45252</c:v>
                </c:pt>
                <c:pt idx="376">
                  <c:v>45254</c:v>
                </c:pt>
                <c:pt idx="377">
                  <c:v>45257</c:v>
                </c:pt>
                <c:pt idx="378">
                  <c:v>45258</c:v>
                </c:pt>
                <c:pt idx="379">
                  <c:v>45259</c:v>
                </c:pt>
                <c:pt idx="380">
                  <c:v>45260</c:v>
                </c:pt>
                <c:pt idx="381">
                  <c:v>45261</c:v>
                </c:pt>
                <c:pt idx="382">
                  <c:v>45264</c:v>
                </c:pt>
                <c:pt idx="383">
                  <c:v>45265</c:v>
                </c:pt>
                <c:pt idx="384">
                  <c:v>45266</c:v>
                </c:pt>
                <c:pt idx="385">
                  <c:v>45267</c:v>
                </c:pt>
                <c:pt idx="386">
                  <c:v>45268</c:v>
                </c:pt>
                <c:pt idx="387">
                  <c:v>45271</c:v>
                </c:pt>
                <c:pt idx="388">
                  <c:v>45272</c:v>
                </c:pt>
                <c:pt idx="389">
                  <c:v>45273</c:v>
                </c:pt>
                <c:pt idx="390">
                  <c:v>45274</c:v>
                </c:pt>
                <c:pt idx="391">
                  <c:v>45275</c:v>
                </c:pt>
                <c:pt idx="392">
                  <c:v>45278</c:v>
                </c:pt>
                <c:pt idx="393">
                  <c:v>45279</c:v>
                </c:pt>
                <c:pt idx="394">
                  <c:v>45280</c:v>
                </c:pt>
                <c:pt idx="395">
                  <c:v>45281</c:v>
                </c:pt>
                <c:pt idx="396">
                  <c:v>45282</c:v>
                </c:pt>
                <c:pt idx="397">
                  <c:v>45286</c:v>
                </c:pt>
                <c:pt idx="398">
                  <c:v>45287</c:v>
                </c:pt>
                <c:pt idx="399">
                  <c:v>45288</c:v>
                </c:pt>
                <c:pt idx="400">
                  <c:v>45289</c:v>
                </c:pt>
                <c:pt idx="401">
                  <c:v>45293</c:v>
                </c:pt>
                <c:pt idx="402">
                  <c:v>45294</c:v>
                </c:pt>
                <c:pt idx="403">
                  <c:v>45295</c:v>
                </c:pt>
                <c:pt idx="404">
                  <c:v>45296</c:v>
                </c:pt>
                <c:pt idx="405">
                  <c:v>45299</c:v>
                </c:pt>
                <c:pt idx="406">
                  <c:v>45300</c:v>
                </c:pt>
                <c:pt idx="407">
                  <c:v>45301</c:v>
                </c:pt>
                <c:pt idx="408">
                  <c:v>45302</c:v>
                </c:pt>
                <c:pt idx="409">
                  <c:v>45303</c:v>
                </c:pt>
                <c:pt idx="410">
                  <c:v>45307</c:v>
                </c:pt>
                <c:pt idx="411">
                  <c:v>45308</c:v>
                </c:pt>
                <c:pt idx="412">
                  <c:v>45309</c:v>
                </c:pt>
                <c:pt idx="413">
                  <c:v>45310</c:v>
                </c:pt>
                <c:pt idx="414">
                  <c:v>45313</c:v>
                </c:pt>
                <c:pt idx="415">
                  <c:v>45314</c:v>
                </c:pt>
                <c:pt idx="416">
                  <c:v>45315</c:v>
                </c:pt>
                <c:pt idx="417">
                  <c:v>45316</c:v>
                </c:pt>
                <c:pt idx="418">
                  <c:v>45317</c:v>
                </c:pt>
                <c:pt idx="419">
                  <c:v>45320</c:v>
                </c:pt>
                <c:pt idx="420">
                  <c:v>45321</c:v>
                </c:pt>
                <c:pt idx="421">
                  <c:v>45322</c:v>
                </c:pt>
                <c:pt idx="422">
                  <c:v>45323</c:v>
                </c:pt>
                <c:pt idx="423">
                  <c:v>45324</c:v>
                </c:pt>
                <c:pt idx="424">
                  <c:v>45327</c:v>
                </c:pt>
                <c:pt idx="425">
                  <c:v>45328</c:v>
                </c:pt>
                <c:pt idx="426">
                  <c:v>45329</c:v>
                </c:pt>
                <c:pt idx="427">
                  <c:v>45330</c:v>
                </c:pt>
                <c:pt idx="428">
                  <c:v>45331</c:v>
                </c:pt>
                <c:pt idx="429">
                  <c:v>45334</c:v>
                </c:pt>
                <c:pt idx="430">
                  <c:v>45335</c:v>
                </c:pt>
                <c:pt idx="431">
                  <c:v>45336</c:v>
                </c:pt>
                <c:pt idx="432">
                  <c:v>45337</c:v>
                </c:pt>
                <c:pt idx="433">
                  <c:v>45338</c:v>
                </c:pt>
                <c:pt idx="434">
                  <c:v>45342</c:v>
                </c:pt>
                <c:pt idx="435">
                  <c:v>45343</c:v>
                </c:pt>
                <c:pt idx="436">
                  <c:v>45344</c:v>
                </c:pt>
                <c:pt idx="437">
                  <c:v>45345</c:v>
                </c:pt>
                <c:pt idx="438">
                  <c:v>45348</c:v>
                </c:pt>
                <c:pt idx="439">
                  <c:v>45349</c:v>
                </c:pt>
                <c:pt idx="440">
                  <c:v>45350</c:v>
                </c:pt>
                <c:pt idx="441">
                  <c:v>45351</c:v>
                </c:pt>
                <c:pt idx="442">
                  <c:v>45352</c:v>
                </c:pt>
                <c:pt idx="443">
                  <c:v>45355</c:v>
                </c:pt>
                <c:pt idx="444">
                  <c:v>45356</c:v>
                </c:pt>
                <c:pt idx="445">
                  <c:v>45357</c:v>
                </c:pt>
                <c:pt idx="446">
                  <c:v>45358</c:v>
                </c:pt>
                <c:pt idx="447">
                  <c:v>45359</c:v>
                </c:pt>
                <c:pt idx="448">
                  <c:v>45362</c:v>
                </c:pt>
                <c:pt idx="449">
                  <c:v>45363</c:v>
                </c:pt>
                <c:pt idx="450">
                  <c:v>45364</c:v>
                </c:pt>
                <c:pt idx="451">
                  <c:v>45365</c:v>
                </c:pt>
                <c:pt idx="452">
                  <c:v>45366</c:v>
                </c:pt>
                <c:pt idx="453">
                  <c:v>45369</c:v>
                </c:pt>
                <c:pt idx="454">
                  <c:v>45370</c:v>
                </c:pt>
                <c:pt idx="455">
                  <c:v>45371</c:v>
                </c:pt>
                <c:pt idx="456">
                  <c:v>45372</c:v>
                </c:pt>
                <c:pt idx="457">
                  <c:v>45373</c:v>
                </c:pt>
                <c:pt idx="458">
                  <c:v>45376</c:v>
                </c:pt>
                <c:pt idx="459">
                  <c:v>45377</c:v>
                </c:pt>
                <c:pt idx="460">
                  <c:v>45378</c:v>
                </c:pt>
                <c:pt idx="461">
                  <c:v>45379</c:v>
                </c:pt>
                <c:pt idx="462">
                  <c:v>45383</c:v>
                </c:pt>
                <c:pt idx="463">
                  <c:v>45384</c:v>
                </c:pt>
                <c:pt idx="464">
                  <c:v>45385</c:v>
                </c:pt>
                <c:pt idx="465">
                  <c:v>45386</c:v>
                </c:pt>
                <c:pt idx="466">
                  <c:v>45387</c:v>
                </c:pt>
                <c:pt idx="467">
                  <c:v>45390</c:v>
                </c:pt>
                <c:pt idx="468">
                  <c:v>45391</c:v>
                </c:pt>
                <c:pt idx="469">
                  <c:v>45392</c:v>
                </c:pt>
                <c:pt idx="470">
                  <c:v>45393</c:v>
                </c:pt>
                <c:pt idx="471">
                  <c:v>45394</c:v>
                </c:pt>
                <c:pt idx="472">
                  <c:v>45397</c:v>
                </c:pt>
                <c:pt idx="473">
                  <c:v>45398</c:v>
                </c:pt>
                <c:pt idx="474">
                  <c:v>45399</c:v>
                </c:pt>
                <c:pt idx="475">
                  <c:v>45400</c:v>
                </c:pt>
                <c:pt idx="476">
                  <c:v>45401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45411</c:v>
                </c:pt>
                <c:pt idx="483">
                  <c:v>45412</c:v>
                </c:pt>
                <c:pt idx="484">
                  <c:v>45413</c:v>
                </c:pt>
                <c:pt idx="485">
                  <c:v>45414</c:v>
                </c:pt>
                <c:pt idx="486">
                  <c:v>45415</c:v>
                </c:pt>
                <c:pt idx="487">
                  <c:v>45418</c:v>
                </c:pt>
                <c:pt idx="488">
                  <c:v>45419</c:v>
                </c:pt>
                <c:pt idx="489">
                  <c:v>45420</c:v>
                </c:pt>
                <c:pt idx="490">
                  <c:v>45421</c:v>
                </c:pt>
                <c:pt idx="491">
                  <c:v>45422</c:v>
                </c:pt>
                <c:pt idx="492">
                  <c:v>45425</c:v>
                </c:pt>
                <c:pt idx="493">
                  <c:v>45426</c:v>
                </c:pt>
                <c:pt idx="494">
                  <c:v>45427</c:v>
                </c:pt>
                <c:pt idx="495">
                  <c:v>45428</c:v>
                </c:pt>
                <c:pt idx="496">
                  <c:v>45429</c:v>
                </c:pt>
                <c:pt idx="497">
                  <c:v>45432</c:v>
                </c:pt>
                <c:pt idx="498">
                  <c:v>45433</c:v>
                </c:pt>
                <c:pt idx="499">
                  <c:v>45434</c:v>
                </c:pt>
                <c:pt idx="500">
                  <c:v>45435</c:v>
                </c:pt>
                <c:pt idx="501">
                  <c:v>45436</c:v>
                </c:pt>
              </c:numCache>
            </c:numRef>
          </c:xVal>
          <c:yVal>
            <c:numRef>
              <c:f>MME!$N$2:$N$503</c:f>
              <c:numCache>
                <c:formatCode>0.000</c:formatCode>
                <c:ptCount val="502"/>
                <c:pt idx="0">
                  <c:v>117.36856164504707</c:v>
                </c:pt>
                <c:pt idx="1">
                  <c:v>119.42929919788448</c:v>
                </c:pt>
                <c:pt idx="2">
                  <c:v>120.26375070082587</c:v>
                </c:pt>
                <c:pt idx="3">
                  <c:v>120.89624680916357</c:v>
                </c:pt>
                <c:pt idx="4">
                  <c:v>121.42412623318857</c:v>
                </c:pt>
                <c:pt idx="5">
                  <c:v>121.88510250687526</c:v>
                </c:pt>
                <c:pt idx="6">
                  <c:v>122.29852244072362</c:v>
                </c:pt>
                <c:pt idx="7">
                  <c:v>122.6758818589836</c:v>
                </c:pt>
                <c:pt idx="8">
                  <c:v>123.02467282274576</c:v>
                </c:pt>
                <c:pt idx="9">
                  <c:v>123.35010064698933</c:v>
                </c:pt>
                <c:pt idx="10">
                  <c:v>123.65595624283047</c:v>
                </c:pt>
                <c:pt idx="11">
                  <c:v>123.94510216059855</c:v>
                </c:pt>
                <c:pt idx="12">
                  <c:v>124.21976287522361</c:v>
                </c:pt>
                <c:pt idx="13">
                  <c:v>124.48170783862572</c:v>
                </c:pt>
                <c:pt idx="14">
                  <c:v>124.73237207551411</c:v>
                </c:pt>
                <c:pt idx="15">
                  <c:v>124.97293854872591</c:v>
                </c:pt>
                <c:pt idx="16">
                  <c:v>125.20439614042448</c:v>
                </c:pt>
                <c:pt idx="17">
                  <c:v>125.42758153215941</c:v>
                </c:pt>
                <c:pt idx="18">
                  <c:v>125.64321013358138</c:v>
                </c:pt>
                <c:pt idx="19">
                  <c:v>125.85189936920695</c:v>
                </c:pt>
                <c:pt idx="20">
                  <c:v>126.0541865118808</c:v>
                </c:pt>
                <c:pt idx="21">
                  <c:v>126.25054254717189</c:v>
                </c:pt>
                <c:pt idx="22">
                  <c:v>126.44138309791123</c:v>
                </c:pt>
                <c:pt idx="23">
                  <c:v>126.62707713675852</c:v>
                </c:pt>
                <c:pt idx="24">
                  <c:v>126.80795401082331</c:v>
                </c:pt>
                <c:pt idx="25">
                  <c:v>126.98430916167051</c:v>
                </c:pt>
                <c:pt idx="26">
                  <c:v>127.15640882520506</c:v>
                </c:pt>
                <c:pt idx="27">
                  <c:v>127.32449392539272</c:v>
                </c:pt>
                <c:pt idx="28">
                  <c:v>127.4887833246753</c:v>
                </c:pt>
                <c:pt idx="29">
                  <c:v>127.64947655642783</c:v>
                </c:pt>
                <c:pt idx="30">
                  <c:v>127.80675613691109</c:v>
                </c:pt>
                <c:pt idx="31">
                  <c:v>127.96078953323421</c:v>
                </c:pt>
                <c:pt idx="32">
                  <c:v>128.11173084788794</c:v>
                </c:pt>
                <c:pt idx="33">
                  <c:v>128.25972226821588</c:v>
                </c:pt>
                <c:pt idx="34">
                  <c:v>128.40489531972261</c:v>
                </c:pt>
                <c:pt idx="35">
                  <c:v>128.54737195471807</c:v>
                </c:pt>
                <c:pt idx="36">
                  <c:v>128.68726550201376</c:v>
                </c:pt>
                <c:pt idx="37">
                  <c:v>128.824681498742</c:v>
                </c:pt>
                <c:pt idx="38">
                  <c:v>128.95971842171392</c:v>
                </c:pt>
                <c:pt idx="39">
                  <c:v>129.09246833276251</c:v>
                </c:pt>
                <c:pt idx="40">
                  <c:v>129.22301745012049</c:v>
                </c:pt>
                <c:pt idx="41">
                  <c:v>129.35144665594493</c:v>
                </c:pt>
                <c:pt idx="42">
                  <c:v>129.47783194849862</c:v>
                </c:pt>
                <c:pt idx="43">
                  <c:v>129.60224484619374</c:v>
                </c:pt>
                <c:pt idx="44">
                  <c:v>129.72475274962071</c:v>
                </c:pt>
                <c:pt idx="45">
                  <c:v>129.84541926677775</c:v>
                </c:pt>
                <c:pt idx="46">
                  <c:v>129.96430450597978</c:v>
                </c:pt>
                <c:pt idx="47">
                  <c:v>130.08146534028683</c:v>
                </c:pt>
                <c:pt idx="48">
                  <c:v>130.19695564676366</c:v>
                </c:pt>
                <c:pt idx="49">
                  <c:v>130.31082652344435</c:v>
                </c:pt>
                <c:pt idx="50">
                  <c:v>130.42312648648524</c:v>
                </c:pt>
                <c:pt idx="51">
                  <c:v>130.53390164967882</c:v>
                </c:pt>
                <c:pt idx="52">
                  <c:v>130.64319588821613</c:v>
                </c:pt>
                <c:pt idx="53">
                  <c:v>130.75105098835877</c:v>
                </c:pt>
                <c:pt idx="54">
                  <c:v>130.85750678447468</c:v>
                </c:pt>
                <c:pt idx="55">
                  <c:v>130.96260128471764</c:v>
                </c:pt>
                <c:pt idx="56">
                  <c:v>131.06637078647685</c:v>
                </c:pt>
                <c:pt idx="57">
                  <c:v>131.16884998260522</c:v>
                </c:pt>
                <c:pt idx="58">
                  <c:v>131.27007205930167</c:v>
                </c:pt>
                <c:pt idx="59">
                  <c:v>131.37006878644374</c:v>
                </c:pt>
                <c:pt idx="60">
                  <c:v>131.4688706010634</c:v>
                </c:pt>
                <c:pt idx="61">
                  <c:v>131.56650668459784</c:v>
                </c:pt>
                <c:pt idx="62">
                  <c:v>131.66300503446996</c:v>
                </c:pt>
                <c:pt idx="63">
                  <c:v>131.75839253050114</c:v>
                </c:pt>
                <c:pt idx="64">
                  <c:v>131.85269499660365</c:v>
                </c:pt>
                <c:pt idx="65">
                  <c:v>131.94593725815972</c:v>
                </c:pt>
                <c:pt idx="66">
                  <c:v>132.03814319544625</c:v>
                </c:pt>
                <c:pt idx="67">
                  <c:v>132.12933579343652</c:v>
                </c:pt>
                <c:pt idx="68">
                  <c:v>132.21953718827265</c:v>
                </c:pt>
                <c:pt idx="69">
                  <c:v>132.30876871068142</c:v>
                </c:pt>
                <c:pt idx="70">
                  <c:v>132.39705092656897</c:v>
                </c:pt>
                <c:pt idx="71">
                  <c:v>132.48440367501965</c:v>
                </c:pt>
                <c:pt idx="72">
                  <c:v>132.57084610390089</c:v>
                </c:pt>
                <c:pt idx="73">
                  <c:v>132.656396703251</c:v>
                </c:pt>
                <c:pt idx="74">
                  <c:v>132.74107333661959</c:v>
                </c:pt>
                <c:pt idx="75">
                  <c:v>132.82489327051249</c:v>
                </c:pt>
                <c:pt idx="76">
                  <c:v>132.90787320207767</c:v>
                </c:pt>
                <c:pt idx="77">
                  <c:v>132.99002928515924</c:v>
                </c:pt>
                <c:pt idx="78">
                  <c:v>133.07137715483825</c:v>
                </c:pt>
                <c:pt idx="79">
                  <c:v>133.15193195056244</c:v>
                </c:pt>
                <c:pt idx="80">
                  <c:v>133.23170833796587</c:v>
                </c:pt>
                <c:pt idx="81">
                  <c:v>133.31072052946661</c:v>
                </c:pt>
                <c:pt idx="82">
                  <c:v>133.38898230372598</c:v>
                </c:pt>
                <c:pt idx="83">
                  <c:v>133.46650702404506</c:v>
                </c:pt>
                <c:pt idx="84">
                  <c:v>133.5433076557681</c:v>
                </c:pt>
                <c:pt idx="85">
                  <c:v>133.61939678275806</c:v>
                </c:pt>
                <c:pt idx="86">
                  <c:v>133.69478662300543</c:v>
                </c:pt>
                <c:pt idx="87">
                  <c:v>133.7694890434212</c:v>
                </c:pt>
                <c:pt idx="88">
                  <c:v>133.84351557387214</c:v>
                </c:pt>
                <c:pt idx="89">
                  <c:v>133.91687742049791</c:v>
                </c:pt>
                <c:pt idx="90">
                  <c:v>133.98958547836153</c:v>
                </c:pt>
                <c:pt idx="91">
                  <c:v>134.06165034346805</c:v>
                </c:pt>
                <c:pt idx="92">
                  <c:v>134.13308232419155</c:v>
                </c:pt>
                <c:pt idx="93">
                  <c:v>134.20389145214818</c:v>
                </c:pt>
                <c:pt idx="94">
                  <c:v>134.27408749254278</c:v>
                </c:pt>
                <c:pt idx="95">
                  <c:v>134.34367995402368</c:v>
                </c:pt>
                <c:pt idx="96">
                  <c:v>134.41267809807431</c:v>
                </c:pt>
                <c:pt idx="97">
                  <c:v>134.48109094796342</c:v>
                </c:pt>
                <c:pt idx="98">
                  <c:v>134.54892729728519</c:v>
                </c:pt>
                <c:pt idx="99">
                  <c:v>134.61619571810783</c:v>
                </c:pt>
                <c:pt idx="100">
                  <c:v>134.68290456875235</c:v>
                </c:pt>
                <c:pt idx="101">
                  <c:v>134.7490620012251</c:v>
                </c:pt>
                <c:pt idx="102">
                  <c:v>134.81467596831936</c:v>
                </c:pt>
                <c:pt idx="103">
                  <c:v>134.87975423040518</c:v>
                </c:pt>
                <c:pt idx="104">
                  <c:v>134.944304361924</c:v>
                </c:pt>
                <c:pt idx="105">
                  <c:v>135.00833375760448</c:v>
                </c:pt>
                <c:pt idx="106">
                  <c:v>135.07184963841186</c:v>
                </c:pt>
                <c:pt idx="107">
                  <c:v>135.13485905724687</c:v>
                </c:pt>
                <c:pt idx="108">
                  <c:v>135.19736890440569</c:v>
                </c:pt>
                <c:pt idx="109">
                  <c:v>135.25938591281351</c:v>
                </c:pt>
                <c:pt idx="110">
                  <c:v>135.32091666304333</c:v>
                </c:pt>
                <c:pt idx="111">
                  <c:v>135.38196758812987</c:v>
                </c:pt>
                <c:pt idx="112">
                  <c:v>135.4425449781896</c:v>
                </c:pt>
                <c:pt idx="113">
                  <c:v>135.50265498485672</c:v>
                </c:pt>
                <c:pt idx="114">
                  <c:v>135.56230362554174</c:v>
                </c:pt>
                <c:pt idx="115">
                  <c:v>135.62149678752425</c:v>
                </c:pt>
                <c:pt idx="116">
                  <c:v>135.68024023188477</c:v>
                </c:pt>
                <c:pt idx="117">
                  <c:v>135.738539597287</c:v>
                </c:pt>
                <c:pt idx="118">
                  <c:v>135.79640040361318</c:v>
                </c:pt>
                <c:pt idx="119">
                  <c:v>135.85382805546234</c:v>
                </c:pt>
                <c:pt idx="120">
                  <c:v>135.91082784551688</c:v>
                </c:pt>
                <c:pt idx="121">
                  <c:v>135.9674049577842</c:v>
                </c:pt>
                <c:pt idx="122">
                  <c:v>136.02356447071634</c:v>
                </c:pt>
                <c:pt idx="123">
                  <c:v>136.07931136021733</c:v>
                </c:pt>
                <c:pt idx="124">
                  <c:v>136.13465050254013</c:v>
                </c:pt>
                <c:pt idx="125">
                  <c:v>136.18958667707832</c:v>
                </c:pt>
                <c:pt idx="126">
                  <c:v>136.24412456905907</c:v>
                </c:pt>
                <c:pt idx="127">
                  <c:v>136.29826877213895</c:v>
                </c:pt>
                <c:pt idx="128">
                  <c:v>136.35202379091027</c:v>
                </c:pt>
                <c:pt idx="129">
                  <c:v>136.40539404331685</c:v>
                </c:pt>
                <c:pt idx="130">
                  <c:v>136.45838386298863</c:v>
                </c:pt>
                <c:pt idx="131">
                  <c:v>136.51099750149444</c:v>
                </c:pt>
                <c:pt idx="132">
                  <c:v>136.5632391305181</c:v>
                </c:pt>
                <c:pt idx="133">
                  <c:v>136.61511284396039</c:v>
                </c:pt>
                <c:pt idx="134">
                  <c:v>136.66662265997095</c:v>
                </c:pt>
                <c:pt idx="135">
                  <c:v>136.71777252291207</c:v>
                </c:pt>
                <c:pt idx="136">
                  <c:v>136.76856630525626</c:v>
                </c:pt>
                <c:pt idx="137">
                  <c:v>136.81900780942303</c:v>
                </c:pt>
                <c:pt idx="138">
                  <c:v>136.86910076955468</c:v>
                </c:pt>
                <c:pt idx="139">
                  <c:v>136.91884885323429</c:v>
                </c:pt>
                <c:pt idx="140">
                  <c:v>136.96825566314917</c:v>
                </c:pt>
                <c:pt idx="141">
                  <c:v>137.01732473870007</c:v>
                </c:pt>
                <c:pt idx="142">
                  <c:v>137.06605955756092</c:v>
                </c:pt>
                <c:pt idx="143">
                  <c:v>137.11446353718688</c:v>
                </c:pt>
                <c:pt idx="144">
                  <c:v>137.16254003627765</c:v>
                </c:pt>
                <c:pt idx="145">
                  <c:v>137.21029235619449</c:v>
                </c:pt>
                <c:pt idx="146">
                  <c:v>137.25772374233199</c:v>
                </c:pt>
                <c:pt idx="147">
                  <c:v>137.30483738545058</c:v>
                </c:pt>
                <c:pt idx="148">
                  <c:v>137.35163642296556</c:v>
                </c:pt>
                <c:pt idx="149">
                  <c:v>137.39812394019938</c:v>
                </c:pt>
                <c:pt idx="150">
                  <c:v>137.44430297159522</c:v>
                </c:pt>
                <c:pt idx="151">
                  <c:v>137.49017650189433</c:v>
                </c:pt>
                <c:pt idx="152">
                  <c:v>137.53574746727881</c:v>
                </c:pt>
                <c:pt idx="153">
                  <c:v>137.581018756481</c:v>
                </c:pt>
                <c:pt idx="154">
                  <c:v>137.62599321185891</c:v>
                </c:pt>
                <c:pt idx="155">
                  <c:v>137.67067363044271</c:v>
                </c:pt>
                <c:pt idx="156">
                  <c:v>137.71506276494904</c:v>
                </c:pt>
                <c:pt idx="157">
                  <c:v>137.75916332476694</c:v>
                </c:pt>
                <c:pt idx="158">
                  <c:v>137.80297797691657</c:v>
                </c:pt>
                <c:pt idx="159">
                  <c:v>137.84650934697837</c:v>
                </c:pt>
                <c:pt idx="160">
                  <c:v>137.88976001999893</c:v>
                </c:pt>
                <c:pt idx="161">
                  <c:v>137.93273254136918</c:v>
                </c:pt>
                <c:pt idx="162">
                  <c:v>137.97542941768009</c:v>
                </c:pt>
                <c:pt idx="163">
                  <c:v>138.01785311755282</c:v>
                </c:pt>
                <c:pt idx="164">
                  <c:v>138.06000607244746</c:v>
                </c:pt>
                <c:pt idx="165">
                  <c:v>138.10189067744923</c:v>
                </c:pt>
                <c:pt idx="166">
                  <c:v>138.14350929203377</c:v>
                </c:pt>
                <c:pt idx="167">
                  <c:v>138.18486424081044</c:v>
                </c:pt>
                <c:pt idx="168">
                  <c:v>138.22595781424789</c:v>
                </c:pt>
                <c:pt idx="169">
                  <c:v>138.26679226937819</c:v>
                </c:pt>
                <c:pt idx="170">
                  <c:v>138.30736983048297</c:v>
                </c:pt>
                <c:pt idx="171">
                  <c:v>138.34769268976325</c:v>
                </c:pt>
                <c:pt idx="172">
                  <c:v>138.38776300798858</c:v>
                </c:pt>
                <c:pt idx="173">
                  <c:v>138.42758291513124</c:v>
                </c:pt>
                <c:pt idx="174">
                  <c:v>138.46715451098487</c:v>
                </c:pt>
                <c:pt idx="175">
                  <c:v>138.50647986576467</c:v>
                </c:pt>
                <c:pt idx="176">
                  <c:v>138.54556102069404</c:v>
                </c:pt>
                <c:pt idx="177">
                  <c:v>138.58439998857662</c:v>
                </c:pt>
                <c:pt idx="178">
                  <c:v>138.62299875435176</c:v>
                </c:pt>
                <c:pt idx="179">
                  <c:v>138.66135927563846</c:v>
                </c:pt>
                <c:pt idx="180">
                  <c:v>138.69948348326466</c:v>
                </c:pt>
                <c:pt idx="181">
                  <c:v>138.73737328178277</c:v>
                </c:pt>
                <c:pt idx="182">
                  <c:v>138.77503054997331</c:v>
                </c:pt>
                <c:pt idx="183">
                  <c:v>138.81245714133613</c:v>
                </c:pt>
                <c:pt idx="184">
                  <c:v>138.84965488456859</c:v>
                </c:pt>
                <c:pt idx="185">
                  <c:v>138.88662558403436</c:v>
                </c:pt>
                <c:pt idx="186">
                  <c:v>138.92337102021827</c:v>
                </c:pt>
                <c:pt idx="187">
                  <c:v>138.95989295017145</c:v>
                </c:pt>
                <c:pt idx="188">
                  <c:v>138.99619310794608</c:v>
                </c:pt>
                <c:pt idx="189">
                  <c:v>139.03227320501992</c:v>
                </c:pt>
                <c:pt idx="190">
                  <c:v>139.06813493070933</c:v>
                </c:pt>
                <c:pt idx="191">
                  <c:v>139.10377995257414</c:v>
                </c:pt>
                <c:pt idx="192">
                  <c:v>139.13920991681272</c:v>
                </c:pt>
                <c:pt idx="193">
                  <c:v>139.17442644864681</c:v>
                </c:pt>
                <c:pt idx="194">
                  <c:v>139.2094311526989</c:v>
                </c:pt>
                <c:pt idx="195">
                  <c:v>139.24422561336038</c:v>
                </c:pt>
                <c:pt idx="196">
                  <c:v>139.27881139515029</c:v>
                </c:pt>
                <c:pt idx="197">
                  <c:v>139.31319004306715</c:v>
                </c:pt>
                <c:pt idx="198">
                  <c:v>139.34736308293222</c:v>
                </c:pt>
                <c:pt idx="199">
                  <c:v>139.38133202172591</c:v>
                </c:pt>
                <c:pt idx="200">
                  <c:v>139.41509834791393</c:v>
                </c:pt>
                <c:pt idx="201">
                  <c:v>139.44866353177017</c:v>
                </c:pt>
                <c:pt idx="202">
                  <c:v>139.482029025689</c:v>
                </c:pt>
                <c:pt idx="203">
                  <c:v>139.51519626449243</c:v>
                </c:pt>
                <c:pt idx="204">
                  <c:v>139.54816666572927</c:v>
                </c:pt>
                <c:pt idx="205">
                  <c:v>139.58094162996983</c:v>
                </c:pt>
                <c:pt idx="206">
                  <c:v>139.61352254109153</c:v>
                </c:pt>
                <c:pt idx="207">
                  <c:v>139.64591076656032</c:v>
                </c:pt>
                <c:pt idx="208">
                  <c:v>139.67810765770474</c:v>
                </c:pt>
                <c:pt idx="209">
                  <c:v>139.71011454998524</c:v>
                </c:pt>
                <c:pt idx="210">
                  <c:v>139.74193276325673</c:v>
                </c:pt>
                <c:pt idx="211">
                  <c:v>139.77356360202651</c:v>
                </c:pt>
                <c:pt idx="212">
                  <c:v>139.8050083557051</c:v>
                </c:pt>
                <c:pt idx="213">
                  <c:v>139.83626829885415</c:v>
                </c:pt>
                <c:pt idx="214">
                  <c:v>139.86734469142681</c:v>
                </c:pt>
                <c:pt idx="215">
                  <c:v>139.89823877900454</c:v>
                </c:pt>
                <c:pt idx="216">
                  <c:v>139.92895179302903</c:v>
                </c:pt>
                <c:pt idx="217">
                  <c:v>139.9594849510276</c:v>
                </c:pt>
                <c:pt idx="218">
                  <c:v>139.98983945683656</c:v>
                </c:pt>
                <c:pt idx="219">
                  <c:v>140.0200165008182</c:v>
                </c:pt>
                <c:pt idx="220">
                  <c:v>140.05001726007328</c:v>
                </c:pt>
                <c:pt idx="221">
                  <c:v>140.07984289865027</c:v>
                </c:pt>
                <c:pt idx="222">
                  <c:v>140.10949456774972</c:v>
                </c:pt>
                <c:pt idx="223">
                  <c:v>140.13897340592422</c:v>
                </c:pt>
                <c:pt idx="224">
                  <c:v>140.16828053927568</c:v>
                </c:pt>
                <c:pt idx="225">
                  <c:v>140.19741708164625</c:v>
                </c:pt>
                <c:pt idx="226">
                  <c:v>140.22638413480828</c:v>
                </c:pt>
                <c:pt idx="227">
                  <c:v>140.2551827886484</c:v>
                </c:pt>
                <c:pt idx="228">
                  <c:v>140.28381412134897</c:v>
                </c:pt>
                <c:pt idx="229">
                  <c:v>140.31227919956578</c:v>
                </c:pt>
                <c:pt idx="230">
                  <c:v>140.34057907860213</c:v>
                </c:pt>
                <c:pt idx="231">
                  <c:v>140.36871480257926</c:v>
                </c:pt>
                <c:pt idx="232">
                  <c:v>140.39668740460513</c:v>
                </c:pt>
                <c:pt idx="233">
                  <c:v>140.42449790693675</c:v>
                </c:pt>
                <c:pt idx="234">
                  <c:v>140.45214732114317</c:v>
                </c:pt>
                <c:pt idx="235">
                  <c:v>140.47963664826221</c:v>
                </c:pt>
                <c:pt idx="236">
                  <c:v>140.50696687895604</c:v>
                </c:pt>
                <c:pt idx="237">
                  <c:v>140.53413899366356</c:v>
                </c:pt>
                <c:pt idx="238">
                  <c:v>140.5611539627487</c:v>
                </c:pt>
                <c:pt idx="239">
                  <c:v>140.58801274664793</c:v>
                </c:pt>
                <c:pt idx="240">
                  <c:v>140.61471629601331</c:v>
                </c:pt>
                <c:pt idx="241">
                  <c:v>140.64126555185331</c:v>
                </c:pt>
                <c:pt idx="242">
                  <c:v>140.66766144567191</c:v>
                </c:pt>
                <c:pt idx="243">
                  <c:v>140.69390489960387</c:v>
                </c:pt>
                <c:pt idx="244">
                  <c:v>140.71999682654825</c:v>
                </c:pt>
                <c:pt idx="245">
                  <c:v>140.74593813029935</c:v>
                </c:pt>
                <c:pt idx="246">
                  <c:v>140.77172970567528</c:v>
                </c:pt>
                <c:pt idx="247">
                  <c:v>140.79737243864378</c:v>
                </c:pt>
                <c:pt idx="248">
                  <c:v>140.82286720644669</c:v>
                </c:pt>
                <c:pt idx="249">
                  <c:v>140.84821487772118</c:v>
                </c:pt>
                <c:pt idx="250">
                  <c:v>140.87341631261901</c:v>
                </c:pt>
                <c:pt idx="251">
                  <c:v>140.89847236292479</c:v>
                </c:pt>
                <c:pt idx="252">
                  <c:v>140.92338387217021</c:v>
                </c:pt>
                <c:pt idx="253">
                  <c:v>140.94815167574777</c:v>
                </c:pt>
                <c:pt idx="254">
                  <c:v>140.9727766010221</c:v>
                </c:pt>
                <c:pt idx="255">
                  <c:v>140.99725946743874</c:v>
                </c:pt>
                <c:pt idx="256">
                  <c:v>141.02160108663202</c:v>
                </c:pt>
                <c:pt idx="257">
                  <c:v>141.04580226253023</c:v>
                </c:pt>
                <c:pt idx="258">
                  <c:v>141.06986379145903</c:v>
                </c:pt>
                <c:pt idx="259">
                  <c:v>141.09378646224366</c:v>
                </c:pt>
                <c:pt idx="260">
                  <c:v>141.11757105630926</c:v>
                </c:pt>
                <c:pt idx="261">
                  <c:v>141.14121834777845</c:v>
                </c:pt>
                <c:pt idx="262">
                  <c:v>141.16472910356859</c:v>
                </c:pt>
                <c:pt idx="263">
                  <c:v>141.18810408348665</c:v>
                </c:pt>
                <c:pt idx="264">
                  <c:v>141.21134404032276</c:v>
                </c:pt>
                <c:pt idx="265">
                  <c:v>141.23444971994149</c:v>
                </c:pt>
                <c:pt idx="266">
                  <c:v>141.25742186137325</c:v>
                </c:pt>
                <c:pt idx="267">
                  <c:v>141.28026119690173</c:v>
                </c:pt>
                <c:pt idx="268">
                  <c:v>141.30296845215216</c:v>
                </c:pt>
                <c:pt idx="269">
                  <c:v>141.3255443461768</c:v>
                </c:pt>
                <c:pt idx="270">
                  <c:v>141.34798959153929</c:v>
                </c:pt>
                <c:pt idx="271">
                  <c:v>141.37030489439775</c:v>
                </c:pt>
                <c:pt idx="272">
                  <c:v>141.39249095458655</c:v>
                </c:pt>
                <c:pt idx="273">
                  <c:v>141.41454846569602</c:v>
                </c:pt>
                <c:pt idx="274">
                  <c:v>141.43647811515225</c:v>
                </c:pt>
                <c:pt idx="275">
                  <c:v>141.45828058429427</c:v>
                </c:pt>
                <c:pt idx="276">
                  <c:v>141.47995654845093</c:v>
                </c:pt>
                <c:pt idx="277">
                  <c:v>141.50150667701541</c:v>
                </c:pt>
                <c:pt idx="278">
                  <c:v>141.52293163351953</c:v>
                </c:pt>
                <c:pt idx="279">
                  <c:v>141.5442320757071</c:v>
                </c:pt>
                <c:pt idx="280">
                  <c:v>141.56540865560481</c:v>
                </c:pt>
                <c:pt idx="281">
                  <c:v>141.58646201959274</c:v>
                </c:pt>
                <c:pt idx="282">
                  <c:v>141.60739280847449</c:v>
                </c:pt>
                <c:pt idx="283">
                  <c:v>141.62820165754445</c:v>
                </c:pt>
                <c:pt idx="284">
                  <c:v>141.64888919665574</c:v>
                </c:pt>
                <c:pt idx="285">
                  <c:v>141.66945605028627</c:v>
                </c:pt>
                <c:pt idx="286">
                  <c:v>141.6899028376032</c:v>
                </c:pt>
                <c:pt idx="287">
                  <c:v>141.71023017252773</c:v>
                </c:pt>
                <c:pt idx="288">
                  <c:v>141.73043866379822</c:v>
                </c:pt>
                <c:pt idx="289">
                  <c:v>141.75052891503151</c:v>
                </c:pt>
                <c:pt idx="290">
                  <c:v>141.77050152478515</c:v>
                </c:pt>
                <c:pt idx="291">
                  <c:v>141.79035708661652</c:v>
                </c:pt>
                <c:pt idx="292">
                  <c:v>141.81009618914328</c:v>
                </c:pt>
                <c:pt idx="293">
                  <c:v>141.82971941610037</c:v>
                </c:pt>
                <c:pt idx="294">
                  <c:v>141.84922734639903</c:v>
                </c:pt>
                <c:pt idx="295">
                  <c:v>141.86862055418194</c:v>
                </c:pt>
                <c:pt idx="296">
                  <c:v>141.88789960888042</c:v>
                </c:pt>
                <c:pt idx="297">
                  <c:v>141.90706507526789</c:v>
                </c:pt>
                <c:pt idx="298">
                  <c:v>141.92611751351527</c:v>
                </c:pt>
                <c:pt idx="299">
                  <c:v>141.94505747924322</c:v>
                </c:pt>
                <c:pt idx="300">
                  <c:v>141.96388552357547</c:v>
                </c:pt>
                <c:pt idx="301">
                  <c:v>141.98260219319005</c:v>
                </c:pt>
                <c:pt idx="302">
                  <c:v>142.00120803037024</c:v>
                </c:pt>
                <c:pt idx="303">
                  <c:v>142.0197035730551</c:v>
                </c:pt>
                <c:pt idx="304">
                  <c:v>142.0380893548882</c:v>
                </c:pt>
                <c:pt idx="305">
                  <c:v>142.05636590526737</c:v>
                </c:pt>
                <c:pt idx="306">
                  <c:v>142.07453374939175</c:v>
                </c:pt>
                <c:pt idx="307">
                  <c:v>142.09259340830974</c:v>
                </c:pt>
                <c:pt idx="308">
                  <c:v>142.11054539896523</c:v>
                </c:pt>
                <c:pt idx="309">
                  <c:v>142.12839023424402</c:v>
                </c:pt>
                <c:pt idx="310">
                  <c:v>142.14612842301847</c:v>
                </c:pt>
                <c:pt idx="311">
                  <c:v>142.16376047019239</c:v>
                </c:pt>
                <c:pt idx="312">
                  <c:v>142.1812868767455</c:v>
                </c:pt>
                <c:pt idx="313">
                  <c:v>142.19870813977616</c:v>
                </c:pt>
                <c:pt idx="314">
                  <c:v>142.21602475254414</c:v>
                </c:pt>
                <c:pt idx="315">
                  <c:v>142.23323720451344</c:v>
                </c:pt>
                <c:pt idx="316">
                  <c:v>142.25034598139266</c:v>
                </c:pt>
                <c:pt idx="317">
                  <c:v>142.26735156517751</c:v>
                </c:pt>
                <c:pt idx="318">
                  <c:v>142.28425443418951</c:v>
                </c:pt>
                <c:pt idx="319">
                  <c:v>142.30105506311708</c:v>
                </c:pt>
                <c:pt idx="320">
                  <c:v>142.3177539230542</c:v>
                </c:pt>
                <c:pt idx="321">
                  <c:v>142.33435148153922</c:v>
                </c:pt>
                <c:pt idx="322">
                  <c:v>142.35084820259314</c:v>
                </c:pt>
                <c:pt idx="323">
                  <c:v>142.36724454675687</c:v>
                </c:pt>
                <c:pt idx="324">
                  <c:v>142.38354097112904</c:v>
                </c:pt>
                <c:pt idx="325">
                  <c:v>142.39973792940191</c:v>
                </c:pt>
                <c:pt idx="326">
                  <c:v>142.41583587189774</c:v>
                </c:pt>
                <c:pt idx="327">
                  <c:v>142.43183524560482</c:v>
                </c:pt>
                <c:pt idx="328">
                  <c:v>142.44773649421165</c:v>
                </c:pt>
                <c:pt idx="329">
                  <c:v>142.4635400581426</c:v>
                </c:pt>
                <c:pt idx="330">
                  <c:v>142.47924637459161</c:v>
                </c:pt>
                <c:pt idx="331">
                  <c:v>142.49485587755547</c:v>
                </c:pt>
                <c:pt idx="332">
                  <c:v>142.51036899786791</c:v>
                </c:pt>
                <c:pt idx="333">
                  <c:v>142.52578616323223</c:v>
                </c:pt>
                <c:pt idx="334">
                  <c:v>142.54110779825294</c:v>
                </c:pt>
                <c:pt idx="335">
                  <c:v>142.55633432446891</c:v>
                </c:pt>
                <c:pt idx="336">
                  <c:v>142.57146616038369</c:v>
                </c:pt>
                <c:pt idx="337">
                  <c:v>142.58650372149728</c:v>
                </c:pt>
                <c:pt idx="338">
                  <c:v>142.60144742033717</c:v>
                </c:pt>
                <c:pt idx="339">
                  <c:v>142.61629766648727</c:v>
                </c:pt>
                <c:pt idx="340">
                  <c:v>142.63105486661962</c:v>
                </c:pt>
                <c:pt idx="341">
                  <c:v>142.64571942452216</c:v>
                </c:pt>
                <c:pt idx="342">
                  <c:v>142.66029174112904</c:v>
                </c:pt>
                <c:pt idx="343">
                  <c:v>142.67477221454897</c:v>
                </c:pt>
                <c:pt idx="344">
                  <c:v>142.68916124009317</c:v>
                </c:pt>
                <c:pt idx="345">
                  <c:v>142.70345921030406</c:v>
                </c:pt>
                <c:pt idx="346">
                  <c:v>142.71766651498228</c:v>
                </c:pt>
                <c:pt idx="347">
                  <c:v>142.73178354121436</c:v>
                </c:pt>
                <c:pt idx="348">
                  <c:v>142.74581067339963</c:v>
                </c:pt>
                <c:pt idx="349">
                  <c:v>142.75974829327646</c:v>
                </c:pt>
                <c:pt idx="350">
                  <c:v>142.77359677994858</c:v>
                </c:pt>
                <c:pt idx="351">
                  <c:v>142.78735650991152</c:v>
                </c:pt>
                <c:pt idx="352">
                  <c:v>142.80102785707729</c:v>
                </c:pt>
                <c:pt idx="353">
                  <c:v>142.81461119280041</c:v>
                </c:pt>
                <c:pt idx="354">
                  <c:v>142.82810688590257</c:v>
                </c:pt>
                <c:pt idx="355">
                  <c:v>142.84151530269673</c:v>
                </c:pt>
                <c:pt idx="356">
                  <c:v>142.85483680701253</c:v>
                </c:pt>
                <c:pt idx="357">
                  <c:v>142.86807176021927</c:v>
                </c:pt>
                <c:pt idx="358">
                  <c:v>142.88122052125007</c:v>
                </c:pt>
                <c:pt idx="359">
                  <c:v>142.89428344662525</c:v>
                </c:pt>
                <c:pt idx="360">
                  <c:v>142.9072608904753</c:v>
                </c:pt>
                <c:pt idx="361">
                  <c:v>142.920153204564</c:v>
                </c:pt>
                <c:pt idx="362">
                  <c:v>142.93296073831053</c:v>
                </c:pt>
                <c:pt idx="363">
                  <c:v>142.94568383881239</c:v>
                </c:pt>
                <c:pt idx="364">
                  <c:v>142.95832285086644</c:v>
                </c:pt>
                <c:pt idx="365">
                  <c:v>142.97087811699168</c:v>
                </c:pt>
                <c:pt idx="366">
                  <c:v>142.9833499774499</c:v>
                </c:pt>
                <c:pt idx="367">
                  <c:v>142.99573877026748</c:v>
                </c:pt>
                <c:pt idx="368">
                  <c:v>143.0080448312558</c:v>
                </c:pt>
                <c:pt idx="369">
                  <c:v>143.02026849403231</c:v>
                </c:pt>
                <c:pt idx="370">
                  <c:v>143.03241009004083</c:v>
                </c:pt>
                <c:pt idx="371">
                  <c:v>143.04446994857173</c:v>
                </c:pt>
                <c:pt idx="372">
                  <c:v>143.0564483967818</c:v>
                </c:pt>
                <c:pt idx="373">
                  <c:v>143.06834575971445</c:v>
                </c:pt>
                <c:pt idx="374">
                  <c:v>143.08016236031841</c:v>
                </c:pt>
                <c:pt idx="375">
                  <c:v>143.09189851946761</c:v>
                </c:pt>
                <c:pt idx="376">
                  <c:v>143.10355455597974</c:v>
                </c:pt>
                <c:pt idx="377">
                  <c:v>143.11513078663546</c:v>
                </c:pt>
                <c:pt idx="378">
                  <c:v>143.12662752619684</c:v>
                </c:pt>
                <c:pt idx="379">
                  <c:v>143.13804508742527</c:v>
                </c:pt>
                <c:pt idx="380">
                  <c:v>143.14938378110028</c:v>
                </c:pt>
                <c:pt idx="381">
                  <c:v>143.16064391603709</c:v>
                </c:pt>
                <c:pt idx="382">
                  <c:v>143.17182579910437</c:v>
                </c:pt>
                <c:pt idx="383">
                  <c:v>143.18292973524177</c:v>
                </c:pt>
                <c:pt idx="384">
                  <c:v>143.19395602747704</c:v>
                </c:pt>
                <c:pt idx="385">
                  <c:v>143.20490497694365</c:v>
                </c:pt>
                <c:pt idx="386">
                  <c:v>143.21577688289688</c:v>
                </c:pt>
                <c:pt idx="387">
                  <c:v>143.22657204273139</c:v>
                </c:pt>
                <c:pt idx="388">
                  <c:v>143.23729075199728</c:v>
                </c:pt>
                <c:pt idx="389">
                  <c:v>143.24793330441611</c:v>
                </c:pt>
                <c:pt idx="390">
                  <c:v>143.25849999189782</c:v>
                </c:pt>
                <c:pt idx="391">
                  <c:v>143.26899110455622</c:v>
                </c:pt>
                <c:pt idx="392">
                  <c:v>143.2794069307246</c:v>
                </c:pt>
                <c:pt idx="393">
                  <c:v>143.28974775697159</c:v>
                </c:pt>
                <c:pt idx="394">
                  <c:v>143.30001386811674</c:v>
                </c:pt>
                <c:pt idx="395">
                  <c:v>143.31020554724523</c:v>
                </c:pt>
                <c:pt idx="396">
                  <c:v>143.32032307572362</c:v>
                </c:pt>
                <c:pt idx="397">
                  <c:v>143.33036673321385</c:v>
                </c:pt>
                <c:pt idx="398">
                  <c:v>143.34033679768922</c:v>
                </c:pt>
                <c:pt idx="399">
                  <c:v>143.35023354544779</c:v>
                </c:pt>
                <c:pt idx="400">
                  <c:v>143.36005725112722</c:v>
                </c:pt>
                <c:pt idx="401">
                  <c:v>143.36980818771931</c:v>
                </c:pt>
                <c:pt idx="402">
                  <c:v>143.37948662658357</c:v>
                </c:pt>
                <c:pt idx="403">
                  <c:v>143.38909283746185</c:v>
                </c:pt>
                <c:pt idx="404">
                  <c:v>143.39862708849103</c:v>
                </c:pt>
                <c:pt idx="405">
                  <c:v>143.40808964621786</c:v>
                </c:pt>
                <c:pt idx="406">
                  <c:v>143.41748077561172</c:v>
                </c:pt>
                <c:pt idx="407">
                  <c:v>143.42680074007785</c:v>
                </c:pt>
                <c:pt idx="408">
                  <c:v>143.43604980147111</c:v>
                </c:pt>
                <c:pt idx="409">
                  <c:v>143.44522822010856</c:v>
                </c:pt>
                <c:pt idx="410">
                  <c:v>143.45433625478259</c:v>
                </c:pt>
                <c:pt idx="411">
                  <c:v>143.46337416277333</c:v>
                </c:pt>
                <c:pt idx="412">
                  <c:v>143.47234219986194</c:v>
                </c:pt>
                <c:pt idx="413">
                  <c:v>143.48124062034236</c:v>
                </c:pt>
                <c:pt idx="414">
                  <c:v>143.49006967703403</c:v>
                </c:pt>
                <c:pt idx="415">
                  <c:v>143.49882962129413</c:v>
                </c:pt>
                <c:pt idx="416">
                  <c:v>143.50752070302954</c:v>
                </c:pt>
                <c:pt idx="417">
                  <c:v>143.51614317070886</c:v>
                </c:pt>
                <c:pt idx="418">
                  <c:v>143.52469727137421</c:v>
                </c:pt>
                <c:pt idx="419">
                  <c:v>143.53318325065291</c:v>
                </c:pt>
                <c:pt idx="420">
                  <c:v>143.54160135276913</c:v>
                </c:pt>
                <c:pt idx="421">
                  <c:v>143.54995182055538</c:v>
                </c:pt>
                <c:pt idx="422">
                  <c:v>143.55823489546361</c:v>
                </c:pt>
                <c:pt idx="423">
                  <c:v>143.56645081757685</c:v>
                </c:pt>
                <c:pt idx="424">
                  <c:v>143.57459982561966</c:v>
                </c:pt>
                <c:pt idx="425">
                  <c:v>143.58268215696995</c:v>
                </c:pt>
                <c:pt idx="426">
                  <c:v>143.59069804766884</c:v>
                </c:pt>
                <c:pt idx="427">
                  <c:v>143.59864773243248</c:v>
                </c:pt>
                <c:pt idx="428">
                  <c:v>143.60653144466204</c:v>
                </c:pt>
                <c:pt idx="429">
                  <c:v>143.61434941645408</c:v>
                </c:pt>
                <c:pt idx="430">
                  <c:v>143.62210187861143</c:v>
                </c:pt>
                <c:pt idx="431">
                  <c:v>143.62978906065368</c:v>
                </c:pt>
                <c:pt idx="432">
                  <c:v>143.63741119082641</c:v>
                </c:pt>
                <c:pt idx="433">
                  <c:v>143.64496849611228</c:v>
                </c:pt>
                <c:pt idx="434">
                  <c:v>143.65246120224083</c:v>
                </c:pt>
                <c:pt idx="435">
                  <c:v>143.65988953369776</c:v>
                </c:pt>
                <c:pt idx="436">
                  <c:v>143.66725371373551</c:v>
                </c:pt>
                <c:pt idx="437">
                  <c:v>143.67455396438257</c:v>
                </c:pt>
                <c:pt idx="438">
                  <c:v>143.68179050645296</c:v>
                </c:pt>
                <c:pt idx="439">
                  <c:v>143.68896355955602</c:v>
                </c:pt>
                <c:pt idx="440">
                  <c:v>143.69607334210559</c:v>
                </c:pt>
                <c:pt idx="441">
                  <c:v>143.70312007132961</c:v>
                </c:pt>
                <c:pt idx="442">
                  <c:v>143.71010396327884</c:v>
                </c:pt>
                <c:pt idx="443">
                  <c:v>143.71702523283645</c:v>
                </c:pt>
                <c:pt idx="444">
                  <c:v>143.72388409372689</c:v>
                </c:pt>
                <c:pt idx="445">
                  <c:v>143.73068075852456</c:v>
                </c:pt>
                <c:pt idx="446">
                  <c:v>143.73741543866313</c:v>
                </c:pt>
                <c:pt idx="447">
                  <c:v>143.74408834444401</c:v>
                </c:pt>
                <c:pt idx="448">
                  <c:v>143.75069968504511</c:v>
                </c:pt>
                <c:pt idx="449">
                  <c:v>143.75724966852928</c:v>
                </c:pt>
                <c:pt idx="450">
                  <c:v>143.76373850185308</c:v>
                </c:pt>
                <c:pt idx="451">
                  <c:v>143.77016639087492</c:v>
                </c:pt>
                <c:pt idx="452">
                  <c:v>143.77653354036363</c:v>
                </c:pt>
                <c:pt idx="453">
                  <c:v>143.78284015400635</c:v>
                </c:pt>
                <c:pt idx="454">
                  <c:v>143.78908643441736</c:v>
                </c:pt>
                <c:pt idx="455">
                  <c:v>143.79527258314539</c:v>
                </c:pt>
                <c:pt idx="456">
                  <c:v>143.80139880068219</c:v>
                </c:pt>
                <c:pt idx="457">
                  <c:v>143.80746528647038</c:v>
                </c:pt>
                <c:pt idx="458">
                  <c:v>143.81347223891098</c:v>
                </c:pt>
                <c:pt idx="459">
                  <c:v>143.81941985537151</c:v>
                </c:pt>
                <c:pt idx="460">
                  <c:v>143.82530833219369</c:v>
                </c:pt>
                <c:pt idx="461">
                  <c:v>143.83113786470082</c:v>
                </c:pt>
                <c:pt idx="462">
                  <c:v>143.83690864720566</c:v>
                </c:pt>
                <c:pt idx="463">
                  <c:v>143.84262087301781</c:v>
                </c:pt>
                <c:pt idx="464">
                  <c:v>143.84827473445068</c:v>
                </c:pt>
                <c:pt idx="465">
                  <c:v>143.85387042282977</c:v>
                </c:pt>
                <c:pt idx="466">
                  <c:v>143.85940812849896</c:v>
                </c:pt>
                <c:pt idx="467">
                  <c:v>143.86488804082839</c:v>
                </c:pt>
                <c:pt idx="468">
                  <c:v>143.87031034822112</c:v>
                </c:pt>
                <c:pt idx="469">
                  <c:v>143.87567523812075</c:v>
                </c:pt>
                <c:pt idx="470">
                  <c:v>143.88098289701787</c:v>
                </c:pt>
                <c:pt idx="471">
                  <c:v>143.88623351045726</c:v>
                </c:pt>
                <c:pt idx="472">
                  <c:v>143.89142726304473</c:v>
                </c:pt>
                <c:pt idx="473">
                  <c:v>143.8965643384538</c:v>
                </c:pt>
                <c:pt idx="474">
                  <c:v>143.90164491943273</c:v>
                </c:pt>
                <c:pt idx="475">
                  <c:v>143.90666918781091</c:v>
                </c:pt>
                <c:pt idx="476">
                  <c:v>143.91163732450562</c:v>
                </c:pt>
                <c:pt idx="477">
                  <c:v>143.91654950952847</c:v>
                </c:pt>
                <c:pt idx="478">
                  <c:v>143.92140592199189</c:v>
                </c:pt>
                <c:pt idx="479">
                  <c:v>143.92620674011593</c:v>
                </c:pt>
                <c:pt idx="480">
                  <c:v>143.93095214123406</c:v>
                </c:pt>
                <c:pt idx="481">
                  <c:v>143.93564230179967</c:v>
                </c:pt>
                <c:pt idx="482">
                  <c:v>143.94027739739275</c:v>
                </c:pt>
                <c:pt idx="483">
                  <c:v>143.94485760272536</c:v>
                </c:pt>
                <c:pt idx="484">
                  <c:v>143.94938309164843</c:v>
                </c:pt>
                <c:pt idx="485">
                  <c:v>143.9538540371575</c:v>
                </c:pt>
                <c:pt idx="486">
                  <c:v>143.95827061139852</c:v>
                </c:pt>
                <c:pt idx="487">
                  <c:v>143.96263298567456</c:v>
                </c:pt>
                <c:pt idx="488">
                  <c:v>143.96694133045088</c:v>
                </c:pt>
                <c:pt idx="489">
                  <c:v>143.97119581536157</c:v>
                </c:pt>
                <c:pt idx="490">
                  <c:v>143.97539660921444</c:v>
                </c:pt>
                <c:pt idx="491">
                  <c:v>143.97954387999783</c:v>
                </c:pt>
                <c:pt idx="492">
                  <c:v>143.98363779488562</c:v>
                </c:pt>
                <c:pt idx="493">
                  <c:v>143.98767852024301</c:v>
                </c:pt>
                <c:pt idx="494">
                  <c:v>143.99166622163202</c:v>
                </c:pt>
                <c:pt idx="495">
                  <c:v>143.99560106381759</c:v>
                </c:pt>
                <c:pt idx="496">
                  <c:v>143.99948321077247</c:v>
                </c:pt>
                <c:pt idx="497">
                  <c:v>144.00331282568271</c:v>
                </c:pt>
                <c:pt idx="498">
                  <c:v>144.00709007095364</c:v>
                </c:pt>
                <c:pt idx="499">
                  <c:v>144.01081510821444</c:v>
                </c:pt>
                <c:pt idx="500">
                  <c:v>144.01448809832408</c:v>
                </c:pt>
                <c:pt idx="501">
                  <c:v>144.01810920137629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9-4658-9691-6B77A0FC5989}"/>
            </c:ext>
          </c:extLst>
        </c:ser>
        <c:ser>
          <c:idx val="4"/>
          <c:order val="4"/>
          <c:tx>
            <c:v>IC Inf</c:v>
          </c:tx>
          <c:spPr>
            <a:ln w="190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MME!$B$2:$B$503</c:f>
              <c:numCache>
                <c:formatCode>m/d/yyyy</c:formatCode>
                <c:ptCount val="502"/>
                <c:pt idx="0">
                  <c:v>44707</c:v>
                </c:pt>
                <c:pt idx="1">
                  <c:v>44708</c:v>
                </c:pt>
                <c:pt idx="2">
                  <c:v>44712</c:v>
                </c:pt>
                <c:pt idx="3">
                  <c:v>44713</c:v>
                </c:pt>
                <c:pt idx="4">
                  <c:v>44714</c:v>
                </c:pt>
                <c:pt idx="5">
                  <c:v>44715</c:v>
                </c:pt>
                <c:pt idx="6">
                  <c:v>44718</c:v>
                </c:pt>
                <c:pt idx="7">
                  <c:v>44719</c:v>
                </c:pt>
                <c:pt idx="8">
                  <c:v>44720</c:v>
                </c:pt>
                <c:pt idx="9">
                  <c:v>44721</c:v>
                </c:pt>
                <c:pt idx="10">
                  <c:v>44722</c:v>
                </c:pt>
                <c:pt idx="11">
                  <c:v>44725</c:v>
                </c:pt>
                <c:pt idx="12">
                  <c:v>44726</c:v>
                </c:pt>
                <c:pt idx="13">
                  <c:v>44727</c:v>
                </c:pt>
                <c:pt idx="14">
                  <c:v>44728</c:v>
                </c:pt>
                <c:pt idx="15">
                  <c:v>44729</c:v>
                </c:pt>
                <c:pt idx="16">
                  <c:v>44733</c:v>
                </c:pt>
                <c:pt idx="17">
                  <c:v>44734</c:v>
                </c:pt>
                <c:pt idx="18">
                  <c:v>44735</c:v>
                </c:pt>
                <c:pt idx="19">
                  <c:v>44736</c:v>
                </c:pt>
                <c:pt idx="20">
                  <c:v>44739</c:v>
                </c:pt>
                <c:pt idx="21">
                  <c:v>44740</c:v>
                </c:pt>
                <c:pt idx="22">
                  <c:v>44741</c:v>
                </c:pt>
                <c:pt idx="23">
                  <c:v>44742</c:v>
                </c:pt>
                <c:pt idx="24">
                  <c:v>44743</c:v>
                </c:pt>
                <c:pt idx="25">
                  <c:v>44747</c:v>
                </c:pt>
                <c:pt idx="26">
                  <c:v>44748</c:v>
                </c:pt>
                <c:pt idx="27">
                  <c:v>44749</c:v>
                </c:pt>
                <c:pt idx="28">
                  <c:v>44750</c:v>
                </c:pt>
                <c:pt idx="29">
                  <c:v>44753</c:v>
                </c:pt>
                <c:pt idx="30">
                  <c:v>44754</c:v>
                </c:pt>
                <c:pt idx="31">
                  <c:v>44755</c:v>
                </c:pt>
                <c:pt idx="32">
                  <c:v>44756</c:v>
                </c:pt>
                <c:pt idx="33">
                  <c:v>44757</c:v>
                </c:pt>
                <c:pt idx="34">
                  <c:v>44760</c:v>
                </c:pt>
                <c:pt idx="35">
                  <c:v>44761</c:v>
                </c:pt>
                <c:pt idx="36">
                  <c:v>44762</c:v>
                </c:pt>
                <c:pt idx="37">
                  <c:v>44763</c:v>
                </c:pt>
                <c:pt idx="38">
                  <c:v>44764</c:v>
                </c:pt>
                <c:pt idx="39">
                  <c:v>44767</c:v>
                </c:pt>
                <c:pt idx="40">
                  <c:v>44768</c:v>
                </c:pt>
                <c:pt idx="41">
                  <c:v>44769</c:v>
                </c:pt>
                <c:pt idx="42">
                  <c:v>44770</c:v>
                </c:pt>
                <c:pt idx="43">
                  <c:v>44771</c:v>
                </c:pt>
                <c:pt idx="44">
                  <c:v>44774</c:v>
                </c:pt>
                <c:pt idx="45">
                  <c:v>44775</c:v>
                </c:pt>
                <c:pt idx="46">
                  <c:v>44776</c:v>
                </c:pt>
                <c:pt idx="47">
                  <c:v>44777</c:v>
                </c:pt>
                <c:pt idx="48">
                  <c:v>44778</c:v>
                </c:pt>
                <c:pt idx="49">
                  <c:v>44781</c:v>
                </c:pt>
                <c:pt idx="50">
                  <c:v>44782</c:v>
                </c:pt>
                <c:pt idx="51">
                  <c:v>44783</c:v>
                </c:pt>
                <c:pt idx="52">
                  <c:v>44784</c:v>
                </c:pt>
                <c:pt idx="53">
                  <c:v>44785</c:v>
                </c:pt>
                <c:pt idx="54">
                  <c:v>44788</c:v>
                </c:pt>
                <c:pt idx="55">
                  <c:v>44789</c:v>
                </c:pt>
                <c:pt idx="56">
                  <c:v>44790</c:v>
                </c:pt>
                <c:pt idx="57">
                  <c:v>44791</c:v>
                </c:pt>
                <c:pt idx="58">
                  <c:v>44792</c:v>
                </c:pt>
                <c:pt idx="59">
                  <c:v>44795</c:v>
                </c:pt>
                <c:pt idx="60">
                  <c:v>44796</c:v>
                </c:pt>
                <c:pt idx="61">
                  <c:v>44797</c:v>
                </c:pt>
                <c:pt idx="62">
                  <c:v>44798</c:v>
                </c:pt>
                <c:pt idx="63">
                  <c:v>44799</c:v>
                </c:pt>
                <c:pt idx="64">
                  <c:v>44802</c:v>
                </c:pt>
                <c:pt idx="65">
                  <c:v>44803</c:v>
                </c:pt>
                <c:pt idx="66">
                  <c:v>44804</c:v>
                </c:pt>
                <c:pt idx="67">
                  <c:v>44805</c:v>
                </c:pt>
                <c:pt idx="68">
                  <c:v>44806</c:v>
                </c:pt>
                <c:pt idx="69">
                  <c:v>44810</c:v>
                </c:pt>
                <c:pt idx="70">
                  <c:v>44811</c:v>
                </c:pt>
                <c:pt idx="71">
                  <c:v>44812</c:v>
                </c:pt>
                <c:pt idx="72">
                  <c:v>44813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44830</c:v>
                </c:pt>
                <c:pt idx="84">
                  <c:v>44831</c:v>
                </c:pt>
                <c:pt idx="85">
                  <c:v>44832</c:v>
                </c:pt>
                <c:pt idx="86">
                  <c:v>44833</c:v>
                </c:pt>
                <c:pt idx="87">
                  <c:v>44834</c:v>
                </c:pt>
                <c:pt idx="88">
                  <c:v>44837</c:v>
                </c:pt>
                <c:pt idx="89">
                  <c:v>44838</c:v>
                </c:pt>
                <c:pt idx="90">
                  <c:v>44839</c:v>
                </c:pt>
                <c:pt idx="91">
                  <c:v>44840</c:v>
                </c:pt>
                <c:pt idx="92">
                  <c:v>44841</c:v>
                </c:pt>
                <c:pt idx="93">
                  <c:v>44844</c:v>
                </c:pt>
                <c:pt idx="94">
                  <c:v>44845</c:v>
                </c:pt>
                <c:pt idx="95">
                  <c:v>44846</c:v>
                </c:pt>
                <c:pt idx="96">
                  <c:v>44847</c:v>
                </c:pt>
                <c:pt idx="97">
                  <c:v>44848</c:v>
                </c:pt>
                <c:pt idx="98">
                  <c:v>44851</c:v>
                </c:pt>
                <c:pt idx="99">
                  <c:v>44852</c:v>
                </c:pt>
                <c:pt idx="100">
                  <c:v>44853</c:v>
                </c:pt>
                <c:pt idx="101">
                  <c:v>44854</c:v>
                </c:pt>
                <c:pt idx="102">
                  <c:v>44855</c:v>
                </c:pt>
                <c:pt idx="103">
                  <c:v>44858</c:v>
                </c:pt>
                <c:pt idx="104">
                  <c:v>44859</c:v>
                </c:pt>
                <c:pt idx="105">
                  <c:v>44860</c:v>
                </c:pt>
                <c:pt idx="106">
                  <c:v>44861</c:v>
                </c:pt>
                <c:pt idx="107">
                  <c:v>44862</c:v>
                </c:pt>
                <c:pt idx="108">
                  <c:v>44865</c:v>
                </c:pt>
                <c:pt idx="109">
                  <c:v>44866</c:v>
                </c:pt>
                <c:pt idx="110">
                  <c:v>44867</c:v>
                </c:pt>
                <c:pt idx="111">
                  <c:v>44868</c:v>
                </c:pt>
                <c:pt idx="112">
                  <c:v>44869</c:v>
                </c:pt>
                <c:pt idx="113">
                  <c:v>44872</c:v>
                </c:pt>
                <c:pt idx="114">
                  <c:v>44873</c:v>
                </c:pt>
                <c:pt idx="115">
                  <c:v>44874</c:v>
                </c:pt>
                <c:pt idx="116">
                  <c:v>44875</c:v>
                </c:pt>
                <c:pt idx="117">
                  <c:v>44876</c:v>
                </c:pt>
                <c:pt idx="118">
                  <c:v>44879</c:v>
                </c:pt>
                <c:pt idx="119">
                  <c:v>44880</c:v>
                </c:pt>
                <c:pt idx="120">
                  <c:v>44881</c:v>
                </c:pt>
                <c:pt idx="121">
                  <c:v>44882</c:v>
                </c:pt>
                <c:pt idx="122">
                  <c:v>44883</c:v>
                </c:pt>
                <c:pt idx="123">
                  <c:v>44886</c:v>
                </c:pt>
                <c:pt idx="124">
                  <c:v>44887</c:v>
                </c:pt>
                <c:pt idx="125">
                  <c:v>44888</c:v>
                </c:pt>
                <c:pt idx="126">
                  <c:v>44890</c:v>
                </c:pt>
                <c:pt idx="127">
                  <c:v>44893</c:v>
                </c:pt>
                <c:pt idx="128">
                  <c:v>44894</c:v>
                </c:pt>
                <c:pt idx="129">
                  <c:v>44895</c:v>
                </c:pt>
                <c:pt idx="130">
                  <c:v>44896</c:v>
                </c:pt>
                <c:pt idx="131">
                  <c:v>44897</c:v>
                </c:pt>
                <c:pt idx="132">
                  <c:v>44900</c:v>
                </c:pt>
                <c:pt idx="133">
                  <c:v>44901</c:v>
                </c:pt>
                <c:pt idx="134">
                  <c:v>44902</c:v>
                </c:pt>
                <c:pt idx="135">
                  <c:v>44903</c:v>
                </c:pt>
                <c:pt idx="136">
                  <c:v>44904</c:v>
                </c:pt>
                <c:pt idx="137">
                  <c:v>44907</c:v>
                </c:pt>
                <c:pt idx="138">
                  <c:v>44908</c:v>
                </c:pt>
                <c:pt idx="139">
                  <c:v>44909</c:v>
                </c:pt>
                <c:pt idx="140">
                  <c:v>44910</c:v>
                </c:pt>
                <c:pt idx="141">
                  <c:v>44911</c:v>
                </c:pt>
                <c:pt idx="142">
                  <c:v>44914</c:v>
                </c:pt>
                <c:pt idx="143">
                  <c:v>44915</c:v>
                </c:pt>
                <c:pt idx="144">
                  <c:v>44916</c:v>
                </c:pt>
                <c:pt idx="145">
                  <c:v>44917</c:v>
                </c:pt>
                <c:pt idx="146">
                  <c:v>44918</c:v>
                </c:pt>
                <c:pt idx="147">
                  <c:v>44922</c:v>
                </c:pt>
                <c:pt idx="148">
                  <c:v>44923</c:v>
                </c:pt>
                <c:pt idx="149">
                  <c:v>44924</c:v>
                </c:pt>
                <c:pt idx="150">
                  <c:v>44925</c:v>
                </c:pt>
                <c:pt idx="151">
                  <c:v>44929</c:v>
                </c:pt>
                <c:pt idx="152">
                  <c:v>44930</c:v>
                </c:pt>
                <c:pt idx="153">
                  <c:v>44931</c:v>
                </c:pt>
                <c:pt idx="154">
                  <c:v>44932</c:v>
                </c:pt>
                <c:pt idx="155">
                  <c:v>44935</c:v>
                </c:pt>
                <c:pt idx="156">
                  <c:v>44936</c:v>
                </c:pt>
                <c:pt idx="157">
                  <c:v>44937</c:v>
                </c:pt>
                <c:pt idx="158">
                  <c:v>44938</c:v>
                </c:pt>
                <c:pt idx="159">
                  <c:v>44939</c:v>
                </c:pt>
                <c:pt idx="160">
                  <c:v>44943</c:v>
                </c:pt>
                <c:pt idx="161">
                  <c:v>44944</c:v>
                </c:pt>
                <c:pt idx="162">
                  <c:v>44945</c:v>
                </c:pt>
                <c:pt idx="163">
                  <c:v>44946</c:v>
                </c:pt>
                <c:pt idx="164">
                  <c:v>44949</c:v>
                </c:pt>
                <c:pt idx="165">
                  <c:v>44950</c:v>
                </c:pt>
                <c:pt idx="166">
                  <c:v>44951</c:v>
                </c:pt>
                <c:pt idx="167">
                  <c:v>44952</c:v>
                </c:pt>
                <c:pt idx="168">
                  <c:v>44953</c:v>
                </c:pt>
                <c:pt idx="169">
                  <c:v>44956</c:v>
                </c:pt>
                <c:pt idx="170">
                  <c:v>44957</c:v>
                </c:pt>
                <c:pt idx="171">
                  <c:v>44958</c:v>
                </c:pt>
                <c:pt idx="172">
                  <c:v>44959</c:v>
                </c:pt>
                <c:pt idx="173">
                  <c:v>44960</c:v>
                </c:pt>
                <c:pt idx="174">
                  <c:v>44963</c:v>
                </c:pt>
                <c:pt idx="175">
                  <c:v>44964</c:v>
                </c:pt>
                <c:pt idx="176">
                  <c:v>44965</c:v>
                </c:pt>
                <c:pt idx="177">
                  <c:v>44966</c:v>
                </c:pt>
                <c:pt idx="178">
                  <c:v>44967</c:v>
                </c:pt>
                <c:pt idx="179">
                  <c:v>44970</c:v>
                </c:pt>
                <c:pt idx="180">
                  <c:v>44971</c:v>
                </c:pt>
                <c:pt idx="181">
                  <c:v>44972</c:v>
                </c:pt>
                <c:pt idx="182">
                  <c:v>44973</c:v>
                </c:pt>
                <c:pt idx="183">
                  <c:v>44974</c:v>
                </c:pt>
                <c:pt idx="184">
                  <c:v>44978</c:v>
                </c:pt>
                <c:pt idx="185">
                  <c:v>44979</c:v>
                </c:pt>
                <c:pt idx="186">
                  <c:v>44980</c:v>
                </c:pt>
                <c:pt idx="187">
                  <c:v>44981</c:v>
                </c:pt>
                <c:pt idx="188">
                  <c:v>44984</c:v>
                </c:pt>
                <c:pt idx="189">
                  <c:v>44985</c:v>
                </c:pt>
                <c:pt idx="190">
                  <c:v>44986</c:v>
                </c:pt>
                <c:pt idx="191">
                  <c:v>44987</c:v>
                </c:pt>
                <c:pt idx="192">
                  <c:v>44988</c:v>
                </c:pt>
                <c:pt idx="193">
                  <c:v>44991</c:v>
                </c:pt>
                <c:pt idx="194">
                  <c:v>44992</c:v>
                </c:pt>
                <c:pt idx="195">
                  <c:v>44993</c:v>
                </c:pt>
                <c:pt idx="196">
                  <c:v>44994</c:v>
                </c:pt>
                <c:pt idx="197">
                  <c:v>44995</c:v>
                </c:pt>
                <c:pt idx="198">
                  <c:v>44998</c:v>
                </c:pt>
                <c:pt idx="199">
                  <c:v>44999</c:v>
                </c:pt>
                <c:pt idx="200">
                  <c:v>45000</c:v>
                </c:pt>
                <c:pt idx="201">
                  <c:v>45001</c:v>
                </c:pt>
                <c:pt idx="202">
                  <c:v>45002</c:v>
                </c:pt>
                <c:pt idx="203">
                  <c:v>45005</c:v>
                </c:pt>
                <c:pt idx="204">
                  <c:v>45006</c:v>
                </c:pt>
                <c:pt idx="205">
                  <c:v>45007</c:v>
                </c:pt>
                <c:pt idx="206">
                  <c:v>45008</c:v>
                </c:pt>
                <c:pt idx="207">
                  <c:v>45009</c:v>
                </c:pt>
                <c:pt idx="208">
                  <c:v>45012</c:v>
                </c:pt>
                <c:pt idx="209">
                  <c:v>45013</c:v>
                </c:pt>
                <c:pt idx="210">
                  <c:v>45014</c:v>
                </c:pt>
                <c:pt idx="211">
                  <c:v>45015</c:v>
                </c:pt>
                <c:pt idx="212">
                  <c:v>45016</c:v>
                </c:pt>
                <c:pt idx="213">
                  <c:v>45019</c:v>
                </c:pt>
                <c:pt idx="214">
                  <c:v>45020</c:v>
                </c:pt>
                <c:pt idx="215">
                  <c:v>45021</c:v>
                </c:pt>
                <c:pt idx="216">
                  <c:v>45022</c:v>
                </c:pt>
                <c:pt idx="217">
                  <c:v>45026</c:v>
                </c:pt>
                <c:pt idx="218">
                  <c:v>45027</c:v>
                </c:pt>
                <c:pt idx="219">
                  <c:v>45028</c:v>
                </c:pt>
                <c:pt idx="220">
                  <c:v>45029</c:v>
                </c:pt>
                <c:pt idx="221">
                  <c:v>45030</c:v>
                </c:pt>
                <c:pt idx="222">
                  <c:v>45033</c:v>
                </c:pt>
                <c:pt idx="223">
                  <c:v>45034</c:v>
                </c:pt>
                <c:pt idx="224">
                  <c:v>45035</c:v>
                </c:pt>
                <c:pt idx="225">
                  <c:v>45036</c:v>
                </c:pt>
                <c:pt idx="226">
                  <c:v>45037</c:v>
                </c:pt>
                <c:pt idx="227">
                  <c:v>45040</c:v>
                </c:pt>
                <c:pt idx="228">
                  <c:v>45041</c:v>
                </c:pt>
                <c:pt idx="229">
                  <c:v>45042</c:v>
                </c:pt>
                <c:pt idx="230">
                  <c:v>45043</c:v>
                </c:pt>
                <c:pt idx="231">
                  <c:v>45044</c:v>
                </c:pt>
                <c:pt idx="232">
                  <c:v>45047</c:v>
                </c:pt>
                <c:pt idx="233">
                  <c:v>45048</c:v>
                </c:pt>
                <c:pt idx="234">
                  <c:v>45049</c:v>
                </c:pt>
                <c:pt idx="235">
                  <c:v>45050</c:v>
                </c:pt>
                <c:pt idx="236">
                  <c:v>45051</c:v>
                </c:pt>
                <c:pt idx="237">
                  <c:v>45054</c:v>
                </c:pt>
                <c:pt idx="238">
                  <c:v>45055</c:v>
                </c:pt>
                <c:pt idx="239">
                  <c:v>45056</c:v>
                </c:pt>
                <c:pt idx="240">
                  <c:v>45057</c:v>
                </c:pt>
                <c:pt idx="241">
                  <c:v>45058</c:v>
                </c:pt>
                <c:pt idx="242">
                  <c:v>45061</c:v>
                </c:pt>
                <c:pt idx="243">
                  <c:v>45062</c:v>
                </c:pt>
                <c:pt idx="244">
                  <c:v>45063</c:v>
                </c:pt>
                <c:pt idx="245">
                  <c:v>45064</c:v>
                </c:pt>
                <c:pt idx="246">
                  <c:v>45065</c:v>
                </c:pt>
                <c:pt idx="247">
                  <c:v>45068</c:v>
                </c:pt>
                <c:pt idx="248">
                  <c:v>45069</c:v>
                </c:pt>
                <c:pt idx="249">
                  <c:v>45070</c:v>
                </c:pt>
                <c:pt idx="250">
                  <c:v>45071</c:v>
                </c:pt>
                <c:pt idx="251">
                  <c:v>45072</c:v>
                </c:pt>
                <c:pt idx="252">
                  <c:v>45076</c:v>
                </c:pt>
                <c:pt idx="253">
                  <c:v>45077</c:v>
                </c:pt>
                <c:pt idx="254">
                  <c:v>45078</c:v>
                </c:pt>
                <c:pt idx="255">
                  <c:v>45079</c:v>
                </c:pt>
                <c:pt idx="256">
                  <c:v>45082</c:v>
                </c:pt>
                <c:pt idx="257">
                  <c:v>45083</c:v>
                </c:pt>
                <c:pt idx="258">
                  <c:v>45084</c:v>
                </c:pt>
                <c:pt idx="259">
                  <c:v>45085</c:v>
                </c:pt>
                <c:pt idx="260">
                  <c:v>45086</c:v>
                </c:pt>
                <c:pt idx="261">
                  <c:v>45089</c:v>
                </c:pt>
                <c:pt idx="262">
                  <c:v>45090</c:v>
                </c:pt>
                <c:pt idx="263">
                  <c:v>45091</c:v>
                </c:pt>
                <c:pt idx="264">
                  <c:v>45092</c:v>
                </c:pt>
                <c:pt idx="265">
                  <c:v>45093</c:v>
                </c:pt>
                <c:pt idx="266">
                  <c:v>45097</c:v>
                </c:pt>
                <c:pt idx="267">
                  <c:v>45098</c:v>
                </c:pt>
                <c:pt idx="268">
                  <c:v>45099</c:v>
                </c:pt>
                <c:pt idx="269">
                  <c:v>45100</c:v>
                </c:pt>
                <c:pt idx="270">
                  <c:v>45103</c:v>
                </c:pt>
                <c:pt idx="271">
                  <c:v>45104</c:v>
                </c:pt>
                <c:pt idx="272">
                  <c:v>45105</c:v>
                </c:pt>
                <c:pt idx="273">
                  <c:v>45106</c:v>
                </c:pt>
                <c:pt idx="274">
                  <c:v>45107</c:v>
                </c:pt>
                <c:pt idx="275">
                  <c:v>45110</c:v>
                </c:pt>
                <c:pt idx="276">
                  <c:v>45112</c:v>
                </c:pt>
                <c:pt idx="277">
                  <c:v>45113</c:v>
                </c:pt>
                <c:pt idx="278">
                  <c:v>45114</c:v>
                </c:pt>
                <c:pt idx="279">
                  <c:v>45117</c:v>
                </c:pt>
                <c:pt idx="280">
                  <c:v>45118</c:v>
                </c:pt>
                <c:pt idx="281">
                  <c:v>45119</c:v>
                </c:pt>
                <c:pt idx="282">
                  <c:v>45120</c:v>
                </c:pt>
                <c:pt idx="283">
                  <c:v>45121</c:v>
                </c:pt>
                <c:pt idx="284">
                  <c:v>45124</c:v>
                </c:pt>
                <c:pt idx="285">
                  <c:v>45125</c:v>
                </c:pt>
                <c:pt idx="286">
                  <c:v>45126</c:v>
                </c:pt>
                <c:pt idx="287">
                  <c:v>45127</c:v>
                </c:pt>
                <c:pt idx="288">
                  <c:v>45128</c:v>
                </c:pt>
                <c:pt idx="289">
                  <c:v>45131</c:v>
                </c:pt>
                <c:pt idx="290">
                  <c:v>45132</c:v>
                </c:pt>
                <c:pt idx="291">
                  <c:v>45133</c:v>
                </c:pt>
                <c:pt idx="292">
                  <c:v>45134</c:v>
                </c:pt>
                <c:pt idx="293">
                  <c:v>45135</c:v>
                </c:pt>
                <c:pt idx="294">
                  <c:v>45138</c:v>
                </c:pt>
                <c:pt idx="295">
                  <c:v>45139</c:v>
                </c:pt>
                <c:pt idx="296">
                  <c:v>45140</c:v>
                </c:pt>
                <c:pt idx="297">
                  <c:v>45141</c:v>
                </c:pt>
                <c:pt idx="298">
                  <c:v>45142</c:v>
                </c:pt>
                <c:pt idx="299">
                  <c:v>45145</c:v>
                </c:pt>
                <c:pt idx="300">
                  <c:v>45146</c:v>
                </c:pt>
                <c:pt idx="301">
                  <c:v>45147</c:v>
                </c:pt>
                <c:pt idx="302">
                  <c:v>45148</c:v>
                </c:pt>
                <c:pt idx="303">
                  <c:v>45149</c:v>
                </c:pt>
                <c:pt idx="304">
                  <c:v>45152</c:v>
                </c:pt>
                <c:pt idx="305">
                  <c:v>45153</c:v>
                </c:pt>
                <c:pt idx="306">
                  <c:v>45154</c:v>
                </c:pt>
                <c:pt idx="307">
                  <c:v>45155</c:v>
                </c:pt>
                <c:pt idx="308">
                  <c:v>45156</c:v>
                </c:pt>
                <c:pt idx="309">
                  <c:v>45159</c:v>
                </c:pt>
                <c:pt idx="310">
                  <c:v>45160</c:v>
                </c:pt>
                <c:pt idx="311">
                  <c:v>45161</c:v>
                </c:pt>
                <c:pt idx="312">
                  <c:v>45162</c:v>
                </c:pt>
                <c:pt idx="313">
                  <c:v>45163</c:v>
                </c:pt>
                <c:pt idx="314">
                  <c:v>45166</c:v>
                </c:pt>
                <c:pt idx="315">
                  <c:v>45167</c:v>
                </c:pt>
                <c:pt idx="316">
                  <c:v>45168</c:v>
                </c:pt>
                <c:pt idx="317">
                  <c:v>45169</c:v>
                </c:pt>
                <c:pt idx="318">
                  <c:v>45170</c:v>
                </c:pt>
                <c:pt idx="319">
                  <c:v>45174</c:v>
                </c:pt>
                <c:pt idx="320">
                  <c:v>45175</c:v>
                </c:pt>
                <c:pt idx="321">
                  <c:v>45176</c:v>
                </c:pt>
                <c:pt idx="322">
                  <c:v>45177</c:v>
                </c:pt>
                <c:pt idx="323">
                  <c:v>45180</c:v>
                </c:pt>
                <c:pt idx="324">
                  <c:v>45181</c:v>
                </c:pt>
                <c:pt idx="325">
                  <c:v>45182</c:v>
                </c:pt>
                <c:pt idx="326">
                  <c:v>45183</c:v>
                </c:pt>
                <c:pt idx="327">
                  <c:v>45184</c:v>
                </c:pt>
                <c:pt idx="328">
                  <c:v>45187</c:v>
                </c:pt>
                <c:pt idx="329">
                  <c:v>45188</c:v>
                </c:pt>
                <c:pt idx="330">
                  <c:v>45189</c:v>
                </c:pt>
                <c:pt idx="331">
                  <c:v>45190</c:v>
                </c:pt>
                <c:pt idx="332">
                  <c:v>45191</c:v>
                </c:pt>
                <c:pt idx="333">
                  <c:v>45194</c:v>
                </c:pt>
                <c:pt idx="334">
                  <c:v>45195</c:v>
                </c:pt>
                <c:pt idx="335">
                  <c:v>45196</c:v>
                </c:pt>
                <c:pt idx="336">
                  <c:v>45197</c:v>
                </c:pt>
                <c:pt idx="337">
                  <c:v>45198</c:v>
                </c:pt>
                <c:pt idx="338">
                  <c:v>45201</c:v>
                </c:pt>
                <c:pt idx="339">
                  <c:v>45202</c:v>
                </c:pt>
                <c:pt idx="340">
                  <c:v>45203</c:v>
                </c:pt>
                <c:pt idx="341">
                  <c:v>45204</c:v>
                </c:pt>
                <c:pt idx="342">
                  <c:v>45205</c:v>
                </c:pt>
                <c:pt idx="343">
                  <c:v>45208</c:v>
                </c:pt>
                <c:pt idx="344">
                  <c:v>45209</c:v>
                </c:pt>
                <c:pt idx="345">
                  <c:v>45210</c:v>
                </c:pt>
                <c:pt idx="346">
                  <c:v>45211</c:v>
                </c:pt>
                <c:pt idx="347">
                  <c:v>45212</c:v>
                </c:pt>
                <c:pt idx="348">
                  <c:v>45215</c:v>
                </c:pt>
                <c:pt idx="349">
                  <c:v>45216</c:v>
                </c:pt>
                <c:pt idx="350">
                  <c:v>45217</c:v>
                </c:pt>
                <c:pt idx="351">
                  <c:v>45218</c:v>
                </c:pt>
                <c:pt idx="352">
                  <c:v>45219</c:v>
                </c:pt>
                <c:pt idx="353">
                  <c:v>45222</c:v>
                </c:pt>
                <c:pt idx="354">
                  <c:v>45223</c:v>
                </c:pt>
                <c:pt idx="355">
                  <c:v>45224</c:v>
                </c:pt>
                <c:pt idx="356">
                  <c:v>45225</c:v>
                </c:pt>
                <c:pt idx="357">
                  <c:v>45226</c:v>
                </c:pt>
                <c:pt idx="358">
                  <c:v>45229</c:v>
                </c:pt>
                <c:pt idx="359">
                  <c:v>45230</c:v>
                </c:pt>
                <c:pt idx="360">
                  <c:v>45231</c:v>
                </c:pt>
                <c:pt idx="361">
                  <c:v>45232</c:v>
                </c:pt>
                <c:pt idx="362">
                  <c:v>45233</c:v>
                </c:pt>
                <c:pt idx="363">
                  <c:v>45236</c:v>
                </c:pt>
                <c:pt idx="364">
                  <c:v>45237</c:v>
                </c:pt>
                <c:pt idx="365">
                  <c:v>45238</c:v>
                </c:pt>
                <c:pt idx="366">
                  <c:v>45239</c:v>
                </c:pt>
                <c:pt idx="367">
                  <c:v>45240</c:v>
                </c:pt>
                <c:pt idx="368">
                  <c:v>45243</c:v>
                </c:pt>
                <c:pt idx="369">
                  <c:v>45244</c:v>
                </c:pt>
                <c:pt idx="370">
                  <c:v>45245</c:v>
                </c:pt>
                <c:pt idx="371">
                  <c:v>45246</c:v>
                </c:pt>
                <c:pt idx="372">
                  <c:v>45247</c:v>
                </c:pt>
                <c:pt idx="373">
                  <c:v>45250</c:v>
                </c:pt>
                <c:pt idx="374">
                  <c:v>45251</c:v>
                </c:pt>
                <c:pt idx="375">
                  <c:v>45252</c:v>
                </c:pt>
                <c:pt idx="376">
                  <c:v>45254</c:v>
                </c:pt>
                <c:pt idx="377">
                  <c:v>45257</c:v>
                </c:pt>
                <c:pt idx="378">
                  <c:v>45258</c:v>
                </c:pt>
                <c:pt idx="379">
                  <c:v>45259</c:v>
                </c:pt>
                <c:pt idx="380">
                  <c:v>45260</c:v>
                </c:pt>
                <c:pt idx="381">
                  <c:v>45261</c:v>
                </c:pt>
                <c:pt idx="382">
                  <c:v>45264</c:v>
                </c:pt>
                <c:pt idx="383">
                  <c:v>45265</c:v>
                </c:pt>
                <c:pt idx="384">
                  <c:v>45266</c:v>
                </c:pt>
                <c:pt idx="385">
                  <c:v>45267</c:v>
                </c:pt>
                <c:pt idx="386">
                  <c:v>45268</c:v>
                </c:pt>
                <c:pt idx="387">
                  <c:v>45271</c:v>
                </c:pt>
                <c:pt idx="388">
                  <c:v>45272</c:v>
                </c:pt>
                <c:pt idx="389">
                  <c:v>45273</c:v>
                </c:pt>
                <c:pt idx="390">
                  <c:v>45274</c:v>
                </c:pt>
                <c:pt idx="391">
                  <c:v>45275</c:v>
                </c:pt>
                <c:pt idx="392">
                  <c:v>45278</c:v>
                </c:pt>
                <c:pt idx="393">
                  <c:v>45279</c:v>
                </c:pt>
                <c:pt idx="394">
                  <c:v>45280</c:v>
                </c:pt>
                <c:pt idx="395">
                  <c:v>45281</c:v>
                </c:pt>
                <c:pt idx="396">
                  <c:v>45282</c:v>
                </c:pt>
                <c:pt idx="397">
                  <c:v>45286</c:v>
                </c:pt>
                <c:pt idx="398">
                  <c:v>45287</c:v>
                </c:pt>
                <c:pt idx="399">
                  <c:v>45288</c:v>
                </c:pt>
                <c:pt idx="400">
                  <c:v>45289</c:v>
                </c:pt>
                <c:pt idx="401">
                  <c:v>45293</c:v>
                </c:pt>
                <c:pt idx="402">
                  <c:v>45294</c:v>
                </c:pt>
                <c:pt idx="403">
                  <c:v>45295</c:v>
                </c:pt>
                <c:pt idx="404">
                  <c:v>45296</c:v>
                </c:pt>
                <c:pt idx="405">
                  <c:v>45299</c:v>
                </c:pt>
                <c:pt idx="406">
                  <c:v>45300</c:v>
                </c:pt>
                <c:pt idx="407">
                  <c:v>45301</c:v>
                </c:pt>
                <c:pt idx="408">
                  <c:v>45302</c:v>
                </c:pt>
                <c:pt idx="409">
                  <c:v>45303</c:v>
                </c:pt>
                <c:pt idx="410">
                  <c:v>45307</c:v>
                </c:pt>
                <c:pt idx="411">
                  <c:v>45308</c:v>
                </c:pt>
                <c:pt idx="412">
                  <c:v>45309</c:v>
                </c:pt>
                <c:pt idx="413">
                  <c:v>45310</c:v>
                </c:pt>
                <c:pt idx="414">
                  <c:v>45313</c:v>
                </c:pt>
                <c:pt idx="415">
                  <c:v>45314</c:v>
                </c:pt>
                <c:pt idx="416">
                  <c:v>45315</c:v>
                </c:pt>
                <c:pt idx="417">
                  <c:v>45316</c:v>
                </c:pt>
                <c:pt idx="418">
                  <c:v>45317</c:v>
                </c:pt>
                <c:pt idx="419">
                  <c:v>45320</c:v>
                </c:pt>
                <c:pt idx="420">
                  <c:v>45321</c:v>
                </c:pt>
                <c:pt idx="421">
                  <c:v>45322</c:v>
                </c:pt>
                <c:pt idx="422">
                  <c:v>45323</c:v>
                </c:pt>
                <c:pt idx="423">
                  <c:v>45324</c:v>
                </c:pt>
                <c:pt idx="424">
                  <c:v>45327</c:v>
                </c:pt>
                <c:pt idx="425">
                  <c:v>45328</c:v>
                </c:pt>
                <c:pt idx="426">
                  <c:v>45329</c:v>
                </c:pt>
                <c:pt idx="427">
                  <c:v>45330</c:v>
                </c:pt>
                <c:pt idx="428">
                  <c:v>45331</c:v>
                </c:pt>
                <c:pt idx="429">
                  <c:v>45334</c:v>
                </c:pt>
                <c:pt idx="430">
                  <c:v>45335</c:v>
                </c:pt>
                <c:pt idx="431">
                  <c:v>45336</c:v>
                </c:pt>
                <c:pt idx="432">
                  <c:v>45337</c:v>
                </c:pt>
                <c:pt idx="433">
                  <c:v>45338</c:v>
                </c:pt>
                <c:pt idx="434">
                  <c:v>45342</c:v>
                </c:pt>
                <c:pt idx="435">
                  <c:v>45343</c:v>
                </c:pt>
                <c:pt idx="436">
                  <c:v>45344</c:v>
                </c:pt>
                <c:pt idx="437">
                  <c:v>45345</c:v>
                </c:pt>
                <c:pt idx="438">
                  <c:v>45348</c:v>
                </c:pt>
                <c:pt idx="439">
                  <c:v>45349</c:v>
                </c:pt>
                <c:pt idx="440">
                  <c:v>45350</c:v>
                </c:pt>
                <c:pt idx="441">
                  <c:v>45351</c:v>
                </c:pt>
                <c:pt idx="442">
                  <c:v>45352</c:v>
                </c:pt>
                <c:pt idx="443">
                  <c:v>45355</c:v>
                </c:pt>
                <c:pt idx="444">
                  <c:v>45356</c:v>
                </c:pt>
                <c:pt idx="445">
                  <c:v>45357</c:v>
                </c:pt>
                <c:pt idx="446">
                  <c:v>45358</c:v>
                </c:pt>
                <c:pt idx="447">
                  <c:v>45359</c:v>
                </c:pt>
                <c:pt idx="448">
                  <c:v>45362</c:v>
                </c:pt>
                <c:pt idx="449">
                  <c:v>45363</c:v>
                </c:pt>
                <c:pt idx="450">
                  <c:v>45364</c:v>
                </c:pt>
                <c:pt idx="451">
                  <c:v>45365</c:v>
                </c:pt>
                <c:pt idx="452">
                  <c:v>45366</c:v>
                </c:pt>
                <c:pt idx="453">
                  <c:v>45369</c:v>
                </c:pt>
                <c:pt idx="454">
                  <c:v>45370</c:v>
                </c:pt>
                <c:pt idx="455">
                  <c:v>45371</c:v>
                </c:pt>
                <c:pt idx="456">
                  <c:v>45372</c:v>
                </c:pt>
                <c:pt idx="457">
                  <c:v>45373</c:v>
                </c:pt>
                <c:pt idx="458">
                  <c:v>45376</c:v>
                </c:pt>
                <c:pt idx="459">
                  <c:v>45377</c:v>
                </c:pt>
                <c:pt idx="460">
                  <c:v>45378</c:v>
                </c:pt>
                <c:pt idx="461">
                  <c:v>45379</c:v>
                </c:pt>
                <c:pt idx="462">
                  <c:v>45383</c:v>
                </c:pt>
                <c:pt idx="463">
                  <c:v>45384</c:v>
                </c:pt>
                <c:pt idx="464">
                  <c:v>45385</c:v>
                </c:pt>
                <c:pt idx="465">
                  <c:v>45386</c:v>
                </c:pt>
                <c:pt idx="466">
                  <c:v>45387</c:v>
                </c:pt>
                <c:pt idx="467">
                  <c:v>45390</c:v>
                </c:pt>
                <c:pt idx="468">
                  <c:v>45391</c:v>
                </c:pt>
                <c:pt idx="469">
                  <c:v>45392</c:v>
                </c:pt>
                <c:pt idx="470">
                  <c:v>45393</c:v>
                </c:pt>
                <c:pt idx="471">
                  <c:v>45394</c:v>
                </c:pt>
                <c:pt idx="472">
                  <c:v>45397</c:v>
                </c:pt>
                <c:pt idx="473">
                  <c:v>45398</c:v>
                </c:pt>
                <c:pt idx="474">
                  <c:v>45399</c:v>
                </c:pt>
                <c:pt idx="475">
                  <c:v>45400</c:v>
                </c:pt>
                <c:pt idx="476">
                  <c:v>45401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45411</c:v>
                </c:pt>
                <c:pt idx="483">
                  <c:v>45412</c:v>
                </c:pt>
                <c:pt idx="484">
                  <c:v>45413</c:v>
                </c:pt>
                <c:pt idx="485">
                  <c:v>45414</c:v>
                </c:pt>
                <c:pt idx="486">
                  <c:v>45415</c:v>
                </c:pt>
                <c:pt idx="487">
                  <c:v>45418</c:v>
                </c:pt>
                <c:pt idx="488">
                  <c:v>45419</c:v>
                </c:pt>
                <c:pt idx="489">
                  <c:v>45420</c:v>
                </c:pt>
                <c:pt idx="490">
                  <c:v>45421</c:v>
                </c:pt>
                <c:pt idx="491">
                  <c:v>45422</c:v>
                </c:pt>
                <c:pt idx="492">
                  <c:v>45425</c:v>
                </c:pt>
                <c:pt idx="493">
                  <c:v>45426</c:v>
                </c:pt>
                <c:pt idx="494">
                  <c:v>45427</c:v>
                </c:pt>
                <c:pt idx="495">
                  <c:v>45428</c:v>
                </c:pt>
                <c:pt idx="496">
                  <c:v>45429</c:v>
                </c:pt>
                <c:pt idx="497">
                  <c:v>45432</c:v>
                </c:pt>
                <c:pt idx="498">
                  <c:v>45433</c:v>
                </c:pt>
                <c:pt idx="499">
                  <c:v>45434</c:v>
                </c:pt>
                <c:pt idx="500">
                  <c:v>45435</c:v>
                </c:pt>
                <c:pt idx="501">
                  <c:v>45436</c:v>
                </c:pt>
              </c:numCache>
            </c:numRef>
          </c:xVal>
          <c:yVal>
            <c:numRef>
              <c:f>MME!$M$2:$M$503</c:f>
              <c:numCache>
                <c:formatCode>0.000</c:formatCode>
                <c:ptCount val="502"/>
                <c:pt idx="0">
                  <c:v>117.36856164504707</c:v>
                </c:pt>
                <c:pt idx="1">
                  <c:v>115.24496421995561</c:v>
                </c:pt>
                <c:pt idx="2">
                  <c:v>114.34766967790306</c:v>
                </c:pt>
                <c:pt idx="3">
                  <c:v>113.6523473590894</c:v>
                </c:pt>
                <c:pt idx="4">
                  <c:v>113.06165854871706</c:v>
                </c:pt>
                <c:pt idx="5">
                  <c:v>112.53788970830644</c:v>
                </c:pt>
                <c:pt idx="6">
                  <c:v>112.06169402285339</c:v>
                </c:pt>
                <c:pt idx="7">
                  <c:v>111.62157566360507</c:v>
                </c:pt>
                <c:pt idx="8">
                  <c:v>111.21004256496927</c:v>
                </c:pt>
                <c:pt idx="9">
                  <c:v>110.82188940746623</c:v>
                </c:pt>
                <c:pt idx="10">
                  <c:v>110.45332527548057</c:v>
                </c:pt>
                <c:pt idx="11">
                  <c:v>110.10148761418479</c:v>
                </c:pt>
                <c:pt idx="12">
                  <c:v>109.76415194415205</c:v>
                </c:pt>
                <c:pt idx="13">
                  <c:v>109.43954880896653</c:v>
                </c:pt>
                <c:pt idx="14">
                  <c:v>109.12624317942465</c:v>
                </c:pt>
                <c:pt idx="15">
                  <c:v>108.82305208819589</c:v>
                </c:pt>
                <c:pt idx="16">
                  <c:v>108.52898664862498</c:v>
                </c:pt>
                <c:pt idx="17">
                  <c:v>108.24321017467135</c:v>
                </c:pt>
                <c:pt idx="18">
                  <c:v>107.96500725219475</c:v>
                </c:pt>
                <c:pt idx="19">
                  <c:v>107.69376045219013</c:v>
                </c:pt>
                <c:pt idx="20">
                  <c:v>107.42893249732568</c:v>
                </c:pt>
                <c:pt idx="21">
                  <c:v>107.1700523975462</c:v>
                </c:pt>
                <c:pt idx="22">
                  <c:v>106.91670452553603</c:v>
                </c:pt>
                <c:pt idx="23">
                  <c:v>106.66851990415174</c:v>
                </c:pt>
                <c:pt idx="24">
                  <c:v>106.42516918180134</c:v>
                </c:pt>
                <c:pt idx="25">
                  <c:v>106.1863569124387</c:v>
                </c:pt>
                <c:pt idx="26">
                  <c:v>105.95181685567883</c:v>
                </c:pt>
                <c:pt idx="27">
                  <c:v>105.72130808307718</c:v>
                </c:pt>
                <c:pt idx="28">
                  <c:v>105.49461172771424</c:v>
                </c:pt>
                <c:pt idx="29">
                  <c:v>105.27152825173857</c:v>
                </c:pt>
                <c:pt idx="30">
                  <c:v>105.0518751344141</c:v>
                </c:pt>
                <c:pt idx="31">
                  <c:v>104.83548490415775</c:v>
                </c:pt>
                <c:pt idx="32">
                  <c:v>104.62220345400588</c:v>
                </c:pt>
                <c:pt idx="33">
                  <c:v>104.41188859214319</c:v>
                </c:pt>
                <c:pt idx="34">
                  <c:v>104.20440878859472</c:v>
                </c:pt>
                <c:pt idx="35">
                  <c:v>103.99964208658126</c:v>
                </c:pt>
                <c:pt idx="36">
                  <c:v>103.79747515282324</c:v>
                </c:pt>
                <c:pt idx="37">
                  <c:v>103.59780244572153</c:v>
                </c:pt>
                <c:pt idx="38">
                  <c:v>103.40052548399927</c:v>
                </c:pt>
                <c:pt idx="39">
                  <c:v>103.20555220135904</c:v>
                </c:pt>
                <c:pt idx="40">
                  <c:v>103.01279637510481</c:v>
                </c:pt>
                <c:pt idx="41">
                  <c:v>102.8221771186175</c:v>
                </c:pt>
                <c:pt idx="42">
                  <c:v>102.63361842917344</c:v>
                </c:pt>
                <c:pt idx="43">
                  <c:v>102.44704878390064</c:v>
                </c:pt>
                <c:pt idx="44">
                  <c:v>102.26240077775029</c:v>
                </c:pt>
                <c:pt idx="45">
                  <c:v>102.07961079826691</c:v>
                </c:pt>
                <c:pt idx="46">
                  <c:v>101.8986187326794</c:v>
                </c:pt>
                <c:pt idx="47">
                  <c:v>101.71936770347284</c:v>
                </c:pt>
                <c:pt idx="48">
                  <c:v>101.54180382912877</c:v>
                </c:pt>
                <c:pt idx="49">
                  <c:v>101.36587600716055</c:v>
                </c:pt>
                <c:pt idx="50">
                  <c:v>101.19153571696049</c:v>
                </c:pt>
                <c:pt idx="51">
                  <c:v>101.01873684028601</c:v>
                </c:pt>
                <c:pt idx="52">
                  <c:v>100.84743549749712</c:v>
                </c:pt>
                <c:pt idx="53">
                  <c:v>100.67758989788446</c:v>
                </c:pt>
                <c:pt idx="54">
                  <c:v>100.50916020263344</c:v>
                </c:pt>
                <c:pt idx="55">
                  <c:v>100.34210839914502</c:v>
                </c:pt>
                <c:pt idx="56">
                  <c:v>100.1763981855857</c:v>
                </c:pt>
                <c:pt idx="57">
                  <c:v>100.0119948646597</c:v>
                </c:pt>
                <c:pt idx="58">
                  <c:v>99.84886524572623</c:v>
                </c:pt>
                <c:pt idx="59">
                  <c:v>99.68697755446712</c:v>
                </c:pt>
                <c:pt idx="60">
                  <c:v>99.526301349410943</c:v>
                </c:pt>
                <c:pt idx="61">
                  <c:v>99.366807444682365</c:v>
                </c:pt>
                <c:pt idx="62">
                  <c:v>99.208467838421384</c:v>
                </c:pt>
                <c:pt idx="63">
                  <c:v>99.051255646370706</c:v>
                </c:pt>
                <c:pt idx="64">
                  <c:v>98.895145040183493</c:v>
                </c:pt>
                <c:pt idx="65">
                  <c:v>98.740111190043905</c:v>
                </c:pt>
                <c:pt idx="66">
                  <c:v>98.586130211242875</c:v>
                </c:pt>
                <c:pt idx="67">
                  <c:v>98.433179114375932</c:v>
                </c:pt>
                <c:pt idx="68">
                  <c:v>98.281235758871006</c:v>
                </c:pt>
                <c:pt idx="69">
                  <c:v>98.130278809572658</c:v>
                </c:pt>
                <c:pt idx="70">
                  <c:v>97.980287696147116</c:v>
                </c:pt>
                <c:pt idx="71">
                  <c:v>97.831242575083721</c:v>
                </c:pt>
                <c:pt idx="72">
                  <c:v>97.683124294089822</c:v>
                </c:pt>
                <c:pt idx="73">
                  <c:v>97.53591435870311</c:v>
                </c:pt>
                <c:pt idx="74">
                  <c:v>97.389594900951167</c:v>
                </c:pt>
                <c:pt idx="75">
                  <c:v>97.244148649906577</c:v>
                </c:pt>
                <c:pt idx="76">
                  <c:v>97.099558904000901</c:v>
                </c:pt>
                <c:pt idx="77">
                  <c:v>96.95580950497073</c:v>
                </c:pt>
                <c:pt idx="78">
                  <c:v>96.812884813316984</c:v>
                </c:pt>
                <c:pt idx="79">
                  <c:v>96.670769685174989</c:v>
                </c:pt>
                <c:pt idx="80">
                  <c:v>96.529449450494994</c:v>
                </c:pt>
                <c:pt idx="81">
                  <c:v>96.388909892444403</c:v>
                </c:pt>
                <c:pt idx="82">
                  <c:v>96.24913722794858</c:v>
                </c:pt>
                <c:pt idx="83">
                  <c:v>96.110118089294218</c:v>
                </c:pt>
                <c:pt idx="84">
                  <c:v>95.971839506726099</c:v>
                </c:pt>
                <c:pt idx="85">
                  <c:v>95.834288891971482</c:v>
                </c:pt>
                <c:pt idx="86">
                  <c:v>95.697454022631277</c:v>
                </c:pt>
                <c:pt idx="87">
                  <c:v>95.561323027386976</c:v>
                </c:pt>
                <c:pt idx="88">
                  <c:v>95.425884371965594</c:v>
                </c:pt>
                <c:pt idx="89">
                  <c:v>95.291126845822447</c:v>
                </c:pt>
                <c:pt idx="90">
                  <c:v>95.157039549490506</c:v>
                </c:pt>
                <c:pt idx="91">
                  <c:v>95.023611882562065</c:v>
                </c:pt>
                <c:pt idx="92">
                  <c:v>94.890833532261468</c:v>
                </c:pt>
                <c:pt idx="93">
                  <c:v>94.758694462572265</c:v>
                </c:pt>
                <c:pt idx="94">
                  <c:v>94.627184903890381</c:v>
                </c:pt>
                <c:pt idx="95">
                  <c:v>94.496295343169436</c:v>
                </c:pt>
                <c:pt idx="96">
                  <c:v>94.366016514529221</c:v>
                </c:pt>
                <c:pt idx="97">
                  <c:v>94.236339390305403</c:v>
                </c:pt>
                <c:pt idx="98">
                  <c:v>94.107255172509156</c:v>
                </c:pt>
                <c:pt idx="99">
                  <c:v>93.97875528467911</c:v>
                </c:pt>
                <c:pt idx="100">
                  <c:v>93.85083136410212</c:v>
                </c:pt>
                <c:pt idx="101">
                  <c:v>93.723475254380816</c:v>
                </c:pt>
                <c:pt idx="102">
                  <c:v>93.596678998332209</c:v>
                </c:pt>
                <c:pt idx="103">
                  <c:v>93.470434831197664</c:v>
                </c:pt>
                <c:pt idx="104">
                  <c:v>93.344735174148283</c:v>
                </c:pt>
                <c:pt idx="105">
                  <c:v>93.21957262806913</c:v>
                </c:pt>
                <c:pt idx="106">
                  <c:v>93.094939967609974</c:v>
                </c:pt>
                <c:pt idx="107">
                  <c:v>92.970830135486153</c:v>
                </c:pt>
                <c:pt idx="108">
                  <c:v>92.847236237018762</c:v>
                </c:pt>
                <c:pt idx="109">
                  <c:v>92.724151534901083</c:v>
                </c:pt>
                <c:pt idx="110">
                  <c:v>92.601569444179702</c:v>
                </c:pt>
                <c:pt idx="111">
                  <c:v>92.479483527440749</c:v>
                </c:pt>
                <c:pt idx="112">
                  <c:v>92.357887490189682</c:v>
                </c:pt>
                <c:pt idx="113">
                  <c:v>92.236775176415449</c:v>
                </c:pt>
                <c:pt idx="114">
                  <c:v>92.116140564331843</c:v>
                </c:pt>
                <c:pt idx="115">
                  <c:v>91.995977762284824</c:v>
                </c:pt>
                <c:pt idx="116">
                  <c:v>91.876281004820527</c:v>
                </c:pt>
                <c:pt idx="117">
                  <c:v>91.757044648902976</c:v>
                </c:pt>
                <c:pt idx="118">
                  <c:v>91.638263170279046</c:v>
                </c:pt>
                <c:pt idx="119">
                  <c:v>91.519931159979848</c:v>
                </c:pt>
                <c:pt idx="120">
                  <c:v>91.402043320954235</c:v>
                </c:pt>
                <c:pt idx="121">
                  <c:v>91.28459446482745</c:v>
                </c:pt>
                <c:pt idx="122">
                  <c:v>91.167579508781074</c:v>
                </c:pt>
                <c:pt idx="123">
                  <c:v>91.050993472545898</c:v>
                </c:pt>
                <c:pt idx="124">
                  <c:v>90.934831475505035</c:v>
                </c:pt>
                <c:pt idx="125">
                  <c:v>90.819088733902063</c:v>
                </c:pt>
                <c:pt idx="126">
                  <c:v>90.703760558148204</c:v>
                </c:pt>
                <c:pt idx="127">
                  <c:v>90.588842350226329</c:v>
                </c:pt>
                <c:pt idx="128">
                  <c:v>90.474329601184863</c:v>
                </c:pt>
                <c:pt idx="129">
                  <c:v>90.360217888721905</c:v>
                </c:pt>
                <c:pt idx="130">
                  <c:v>90.246502874850464</c:v>
                </c:pt>
                <c:pt idx="131">
                  <c:v>90.133180303645887</c:v>
                </c:pt>
                <c:pt idx="132">
                  <c:v>90.020245999069857</c:v>
                </c:pt>
                <c:pt idx="133">
                  <c:v>89.907695862867939</c:v>
                </c:pt>
                <c:pt idx="134">
                  <c:v>89.795525872538292</c:v>
                </c:pt>
                <c:pt idx="135">
                  <c:v>89.683732079367445</c:v>
                </c:pt>
                <c:pt idx="136">
                  <c:v>89.572310606532909</c:v>
                </c:pt>
                <c:pt idx="137">
                  <c:v>89.461257647266393</c:v>
                </c:pt>
                <c:pt idx="138">
                  <c:v>89.350569463077903</c:v>
                </c:pt>
                <c:pt idx="139">
                  <c:v>89.240242382037877</c:v>
                </c:pt>
                <c:pt idx="140">
                  <c:v>89.130272797113747</c:v>
                </c:pt>
                <c:pt idx="141">
                  <c:v>89.020657164560532</c:v>
                </c:pt>
                <c:pt idx="142">
                  <c:v>88.911392002361353</c:v>
                </c:pt>
                <c:pt idx="143">
                  <c:v>88.802473888719177</c:v>
                </c:pt>
                <c:pt idx="144">
                  <c:v>88.693899460593713</c:v>
                </c:pt>
                <c:pt idx="145">
                  <c:v>88.585665412284101</c:v>
                </c:pt>
                <c:pt idx="146">
                  <c:v>88.477768494057457</c:v>
                </c:pt>
                <c:pt idx="147">
                  <c:v>88.370205510816163</c:v>
                </c:pt>
                <c:pt idx="148">
                  <c:v>88.262973320808953</c:v>
                </c:pt>
                <c:pt idx="149">
                  <c:v>88.156068834378402</c:v>
                </c:pt>
                <c:pt idx="150">
                  <c:v>88.049489012747742</c:v>
                </c:pt>
                <c:pt idx="151">
                  <c:v>87.943230866843109</c:v>
                </c:pt>
                <c:pt idx="152">
                  <c:v>87.83729145615105</c:v>
                </c:pt>
                <c:pt idx="153">
                  <c:v>87.731667887609021</c:v>
                </c:pt>
                <c:pt idx="154">
                  <c:v>87.626357314529969</c:v>
                </c:pt>
                <c:pt idx="155">
                  <c:v>87.521356935555758</c:v>
                </c:pt>
                <c:pt idx="156">
                  <c:v>87.416663993643041</c:v>
                </c:pt>
                <c:pt idx="157">
                  <c:v>87.312275775077268</c:v>
                </c:pt>
                <c:pt idx="158">
                  <c:v>87.208189608513749</c:v>
                </c:pt>
                <c:pt idx="159">
                  <c:v>87.104402864048836</c:v>
                </c:pt>
                <c:pt idx="160">
                  <c:v>87.000912952313797</c:v>
                </c:pt>
                <c:pt idx="161">
                  <c:v>86.89771732359678</c:v>
                </c:pt>
                <c:pt idx="162">
                  <c:v>86.794813466987051</c:v>
                </c:pt>
                <c:pt idx="163">
                  <c:v>86.692198909544786</c:v>
                </c:pt>
                <c:pt idx="164">
                  <c:v>86.589871215492352</c:v>
                </c:pt>
                <c:pt idx="165">
                  <c:v>86.487827985428325</c:v>
                </c:pt>
                <c:pt idx="166">
                  <c:v>86.386066855561808</c:v>
                </c:pt>
                <c:pt idx="167">
                  <c:v>86.284585496969441</c:v>
                </c:pt>
                <c:pt idx="168">
                  <c:v>86.183381614869759</c:v>
                </c:pt>
                <c:pt idx="169">
                  <c:v>86.082452947918966</c:v>
                </c:pt>
                <c:pt idx="170">
                  <c:v>85.981797267524882</c:v>
                </c:pt>
                <c:pt idx="171">
                  <c:v>85.881412377177057</c:v>
                </c:pt>
                <c:pt idx="172">
                  <c:v>85.781296111797786</c:v>
                </c:pt>
                <c:pt idx="173">
                  <c:v>85.68144633710763</c:v>
                </c:pt>
                <c:pt idx="174">
                  <c:v>85.58186094900708</c:v>
                </c:pt>
                <c:pt idx="175">
                  <c:v>85.482537872976081</c:v>
                </c:pt>
                <c:pt idx="176">
                  <c:v>85.383475063487722</c:v>
                </c:pt>
                <c:pt idx="177">
                  <c:v>85.284670503435763</c:v>
                </c:pt>
                <c:pt idx="178">
                  <c:v>85.186122203579615</c:v>
                </c:pt>
                <c:pt idx="179">
                  <c:v>85.087828202000011</c:v>
                </c:pt>
                <c:pt idx="180">
                  <c:v>84.989786563570149</c:v>
                </c:pt>
                <c:pt idx="181">
                  <c:v>84.891995379439621</c:v>
                </c:pt>
                <c:pt idx="182">
                  <c:v>84.794452766531279</c:v>
                </c:pt>
                <c:pt idx="183">
                  <c:v>84.697156867049642</c:v>
                </c:pt>
                <c:pt idx="184">
                  <c:v>84.600105848002926</c:v>
                </c:pt>
                <c:pt idx="185">
                  <c:v>84.503297900734282</c:v>
                </c:pt>
                <c:pt idx="186">
                  <c:v>84.406731240466712</c:v>
                </c:pt>
                <c:pt idx="187">
                  <c:v>84.310404105858083</c:v>
                </c:pt>
                <c:pt idx="188">
                  <c:v>84.214314758566431</c:v>
                </c:pt>
                <c:pt idx="189">
                  <c:v>84.118461482825396</c:v>
                </c:pt>
                <c:pt idx="190">
                  <c:v>84.022842585030986</c:v>
                </c:pt>
                <c:pt idx="191">
                  <c:v>83.927456393337053</c:v>
                </c:pt>
                <c:pt idx="192">
                  <c:v>83.832301257260056</c:v>
                </c:pt>
                <c:pt idx="193">
                  <c:v>83.737375547294064</c:v>
                </c:pt>
                <c:pt idx="194">
                  <c:v>83.642677654533713</c:v>
                </c:pt>
                <c:pt idx="195">
                  <c:v>83.548205990305846</c:v>
                </c:pt>
                <c:pt idx="196">
                  <c:v>83.453958985810829</c:v>
                </c:pt>
                <c:pt idx="197">
                  <c:v>83.359935091770538</c:v>
                </c:pt>
                <c:pt idx="198">
                  <c:v>83.266132778085435</c:v>
                </c:pt>
                <c:pt idx="199">
                  <c:v>83.172550533497983</c:v>
                </c:pt>
                <c:pt idx="200">
                  <c:v>83.07918686526628</c:v>
                </c:pt>
                <c:pt idx="201">
                  <c:v>82.986040298841615</c:v>
                </c:pt>
                <c:pt idx="202">
                  <c:v>82.893109377555859</c:v>
                </c:pt>
                <c:pt idx="203">
                  <c:v>82.800392662314337</c:v>
                </c:pt>
                <c:pt idx="204">
                  <c:v>82.707888731296848</c:v>
                </c:pt>
                <c:pt idx="205">
                  <c:v>82.615596179662646</c:v>
                </c:pt>
                <c:pt idx="206">
                  <c:v>82.523513619265216</c:v>
                </c:pt>
                <c:pt idx="207">
                  <c:v>82.431639678370473</c:v>
                </c:pt>
                <c:pt idx="208">
                  <c:v>82.339973001383072</c:v>
                </c:pt>
                <c:pt idx="209">
                  <c:v>82.248512248576745</c:v>
                </c:pt>
                <c:pt idx="210">
                  <c:v>82.157256095832025</c:v>
                </c:pt>
                <c:pt idx="211">
                  <c:v>82.066203234378051</c:v>
                </c:pt>
                <c:pt idx="212">
                  <c:v>81.975352370542069</c:v>
                </c:pt>
                <c:pt idx="213">
                  <c:v>81.884702225501172</c:v>
                </c:pt>
                <c:pt idx="214">
                  <c:v>81.794251535042179</c:v>
                </c:pt>
                <c:pt idx="215">
                  <c:v>81.70399904932475</c:v>
                </c:pt>
                <c:pt idx="216">
                  <c:v>81.613943532649387</c:v>
                </c:pt>
                <c:pt idx="217">
                  <c:v>81.524083763232156</c:v>
                </c:pt>
                <c:pt idx="218">
                  <c:v>81.43441853298124</c:v>
                </c:pt>
                <c:pt idx="219">
                  <c:v>81.344946647280082</c:v>
                </c:pt>
                <c:pt idx="220">
                  <c:v>81.25566692477463</c:v>
                </c:pt>
                <c:pt idx="221">
                  <c:v>81.166578197164384</c:v>
                </c:pt>
                <c:pt idx="222">
                  <c:v>81.07767930899783</c:v>
                </c:pt>
                <c:pt idx="223">
                  <c:v>80.988969117472578</c:v>
                </c:pt>
                <c:pt idx="224">
                  <c:v>80.900446492238146</c:v>
                </c:pt>
                <c:pt idx="225">
                  <c:v>80.812110315204791</c:v>
                </c:pt>
                <c:pt idx="226">
                  <c:v>80.723959480353784</c:v>
                </c:pt>
                <c:pt idx="227">
                  <c:v>80.635992893553336</c:v>
                </c:pt>
                <c:pt idx="228">
                  <c:v>80.548209472376868</c:v>
                </c:pt>
                <c:pt idx="229">
                  <c:v>80.460608145925661</c:v>
                </c:pt>
                <c:pt idx="230">
                  <c:v>80.373187854654645</c:v>
                </c:pt>
                <c:pt idx="231">
                  <c:v>80.285947550201783</c:v>
                </c:pt>
                <c:pt idx="232">
                  <c:v>80.198886195219643</c:v>
                </c:pt>
                <c:pt idx="233">
                  <c:v>80.112002763212757</c:v>
                </c:pt>
                <c:pt idx="234">
                  <c:v>80.02529623837475</c:v>
                </c:pt>
                <c:pt idx="235">
                  <c:v>79.938765615431706</c:v>
                </c:pt>
                <c:pt idx="236">
                  <c:v>79.852409899486361</c:v>
                </c:pt>
                <c:pt idx="237">
                  <c:v>79.766228105865977</c:v>
                </c:pt>
                <c:pt idx="238">
                  <c:v>79.680219259973882</c:v>
                </c:pt>
                <c:pt idx="239">
                  <c:v>79.59438239714197</c:v>
                </c:pt>
                <c:pt idx="240">
                  <c:v>79.508716562487677</c:v>
                </c:pt>
                <c:pt idx="241">
                  <c:v>79.423220810773145</c:v>
                </c:pt>
                <c:pt idx="242">
                  <c:v>79.337894206266299</c:v>
                </c:pt>
                <c:pt idx="243">
                  <c:v>79.252735822605189</c:v>
                </c:pt>
                <c:pt idx="244">
                  <c:v>79.16774474266478</c:v>
                </c:pt>
                <c:pt idx="245">
                  <c:v>79.082920058425984</c:v>
                </c:pt>
                <c:pt idx="246">
                  <c:v>78.998260870847048</c:v>
                </c:pt>
                <c:pt idx="247">
                  <c:v>78.913766289737609</c:v>
                </c:pt>
                <c:pt idx="248">
                  <c:v>78.829435433634359</c:v>
                </c:pt>
                <c:pt idx="249">
                  <c:v>78.745267429679899</c:v>
                </c:pt>
                <c:pt idx="250">
                  <c:v>78.66126141350324</c:v>
                </c:pt>
                <c:pt idx="251">
                  <c:v>78.577416529101797</c:v>
                </c:pt>
                <c:pt idx="252">
                  <c:v>78.493731928726945</c:v>
                </c:pt>
                <c:pt idx="253">
                  <c:v>78.410206772770337</c:v>
                </c:pt>
                <c:pt idx="254">
                  <c:v>78.326840229652731</c:v>
                </c:pt>
                <c:pt idx="255">
                  <c:v>78.243631475715105</c:v>
                </c:pt>
                <c:pt idx="256">
                  <c:v>78.16057969511067</c:v>
                </c:pt>
                <c:pt idx="257">
                  <c:v>78.077684079699893</c:v>
                </c:pt>
                <c:pt idx="258">
                  <c:v>77.994943828946958</c:v>
                </c:pt>
                <c:pt idx="259">
                  <c:v>77.912358149817635</c:v>
                </c:pt>
                <c:pt idx="260">
                  <c:v>77.829926256678874</c:v>
                </c:pt>
                <c:pt idx="261">
                  <c:v>77.74764737120131</c:v>
                </c:pt>
                <c:pt idx="262">
                  <c:v>77.665520722261931</c:v>
                </c:pt>
                <c:pt idx="263">
                  <c:v>77.58354554584929</c:v>
                </c:pt>
                <c:pt idx="264">
                  <c:v>77.501721084969859</c:v>
                </c:pt>
                <c:pt idx="265">
                  <c:v>77.42004658955679</c:v>
                </c:pt>
                <c:pt idx="266">
                  <c:v>77.338521316378561</c:v>
                </c:pt>
                <c:pt idx="267">
                  <c:v>77.257144528951528</c:v>
                </c:pt>
                <c:pt idx="268">
                  <c:v>77.175915497451513</c:v>
                </c:pt>
                <c:pt idx="269">
                  <c:v>77.094833498628446</c:v>
                </c:pt>
                <c:pt idx="270">
                  <c:v>77.013897815722174</c:v>
                </c:pt>
                <c:pt idx="271">
                  <c:v>76.933107738379007</c:v>
                </c:pt>
                <c:pt idx="272">
                  <c:v>76.852462562570267</c:v>
                </c:pt>
                <c:pt idx="273">
                  <c:v>76.771961590512234</c:v>
                </c:pt>
                <c:pt idx="274">
                  <c:v>76.691604130586725</c:v>
                </c:pt>
                <c:pt idx="275">
                  <c:v>76.611389497263758</c:v>
                </c:pt>
                <c:pt idx="276">
                  <c:v>76.531317011024512</c:v>
                </c:pt>
                <c:pt idx="277">
                  <c:v>76.45138599828708</c:v>
                </c:pt>
                <c:pt idx="278">
                  <c:v>76.371595791332012</c:v>
                </c:pt>
                <c:pt idx="279">
                  <c:v>76.291945728228839</c:v>
                </c:pt>
                <c:pt idx="280">
                  <c:v>76.21243515276565</c:v>
                </c:pt>
                <c:pt idx="281">
                  <c:v>76.133063414377958</c:v>
                </c:pt>
                <c:pt idx="282">
                  <c:v>76.053829868078992</c:v>
                </c:pt>
                <c:pt idx="283">
                  <c:v>75.974733874392371</c:v>
                </c:pt>
                <c:pt idx="284">
                  <c:v>75.895774799283998</c:v>
                </c:pt>
                <c:pt idx="285">
                  <c:v>75.816952014096259</c:v>
                </c:pt>
                <c:pt idx="286">
                  <c:v>75.738264895483169</c:v>
                </c:pt>
                <c:pt idx="287">
                  <c:v>75.659712825346034</c:v>
                </c:pt>
                <c:pt idx="288">
                  <c:v>75.581295190770035</c:v>
                </c:pt>
                <c:pt idx="289">
                  <c:v>75.503011383962985</c:v>
                </c:pt>
                <c:pt idx="290">
                  <c:v>75.424860802193137</c:v>
                </c:pt>
                <c:pt idx="291">
                  <c:v>75.346842847730017</c:v>
                </c:pt>
                <c:pt idx="292">
                  <c:v>75.268956927783989</c:v>
                </c:pt>
                <c:pt idx="293">
                  <c:v>75.191202454449211</c:v>
                </c:pt>
                <c:pt idx="294">
                  <c:v>75.113578844644778</c:v>
                </c:pt>
                <c:pt idx="295">
                  <c:v>75.036085520059316</c:v>
                </c:pt>
                <c:pt idx="296">
                  <c:v>74.958721907093988</c:v>
                </c:pt>
                <c:pt idx="297">
                  <c:v>74.881487436809039</c:v>
                </c:pt>
                <c:pt idx="298">
                  <c:v>74.804381544868264</c:v>
                </c:pt>
                <c:pt idx="299">
                  <c:v>74.727403671486769</c:v>
                </c:pt>
                <c:pt idx="300">
                  <c:v>74.650553261377809</c:v>
                </c:pt>
                <c:pt idx="301">
                  <c:v>74.573829763701497</c:v>
                </c:pt>
                <c:pt idx="302">
                  <c:v>74.497232632013578</c:v>
                </c:pt>
                <c:pt idx="303">
                  <c:v>74.420761324215448</c:v>
                </c:pt>
                <c:pt idx="304">
                  <c:v>74.3444153025048</c:v>
                </c:pt>
                <c:pt idx="305">
                  <c:v>74.268194033326466</c:v>
                </c:pt>
                <c:pt idx="306">
                  <c:v>74.192096987324845</c:v>
                </c:pt>
                <c:pt idx="307">
                  <c:v>74.116123639296319</c:v>
                </c:pt>
                <c:pt idx="308">
                  <c:v>74.040273468142857</c:v>
                </c:pt>
                <c:pt idx="309">
                  <c:v>73.964545956825631</c:v>
                </c:pt>
                <c:pt idx="310">
                  <c:v>73.888940592320381</c:v>
                </c:pt>
                <c:pt idx="311">
                  <c:v>73.813456865572476</c:v>
                </c:pt>
                <c:pt idx="312">
                  <c:v>73.738094271452496</c:v>
                </c:pt>
                <c:pt idx="313">
                  <c:v>73.662852308713525</c:v>
                </c:pt>
                <c:pt idx="314">
                  <c:v>73.587730479948291</c:v>
                </c:pt>
                <c:pt idx="315">
                  <c:v>73.512728291546495</c:v>
                </c:pt>
                <c:pt idx="316">
                  <c:v>73.43784525365426</c:v>
                </c:pt>
                <c:pt idx="317">
                  <c:v>73.363080880131747</c:v>
                </c:pt>
                <c:pt idx="318">
                  <c:v>73.288434688514343</c:v>
                </c:pt>
                <c:pt idx="319">
                  <c:v>73.21390619997176</c:v>
                </c:pt>
                <c:pt idx="320">
                  <c:v>73.139494939269284</c:v>
                </c:pt>
                <c:pt idx="321">
                  <c:v>73.065200434728766</c:v>
                </c:pt>
                <c:pt idx="322">
                  <c:v>72.991022218190608</c:v>
                </c:pt>
                <c:pt idx="323">
                  <c:v>72.916959824976445</c:v>
                </c:pt>
                <c:pt idx="324">
                  <c:v>72.843012793851315</c:v>
                </c:pt>
                <c:pt idx="325">
                  <c:v>72.769180666987651</c:v>
                </c:pt>
                <c:pt idx="326">
                  <c:v>72.695462989929013</c:v>
                </c:pt>
                <c:pt idx="327">
                  <c:v>72.621859311554076</c:v>
                </c:pt>
                <c:pt idx="328">
                  <c:v>72.548369184042386</c:v>
                </c:pt>
                <c:pt idx="329">
                  <c:v>72.474992162838717</c:v>
                </c:pt>
                <c:pt idx="330">
                  <c:v>72.401727806619476</c:v>
                </c:pt>
                <c:pt idx="331">
                  <c:v>72.328575677259224</c:v>
                </c:pt>
                <c:pt idx="332">
                  <c:v>72.255535339796566</c:v>
                </c:pt>
                <c:pt idx="333">
                  <c:v>72.182606362401998</c:v>
                </c:pt>
                <c:pt idx="334">
                  <c:v>72.109788316345544</c:v>
                </c:pt>
                <c:pt idx="335">
                  <c:v>72.037080775964156</c:v>
                </c:pt>
                <c:pt idx="336">
                  <c:v>71.964483318631267</c:v>
                </c:pt>
                <c:pt idx="337">
                  <c:v>71.891995524724763</c:v>
                </c:pt>
                <c:pt idx="338">
                  <c:v>71.819616977596326</c:v>
                </c:pt>
                <c:pt idx="339">
                  <c:v>71.747347263542224</c:v>
                </c:pt>
                <c:pt idx="340">
                  <c:v>71.675185971771768</c:v>
                </c:pt>
                <c:pt idx="341">
                  <c:v>71.603132694379397</c:v>
                </c:pt>
                <c:pt idx="342">
                  <c:v>71.531187026314441</c:v>
                </c:pt>
                <c:pt idx="343">
                  <c:v>71.459348565352926</c:v>
                </c:pt>
                <c:pt idx="344">
                  <c:v>71.387616912069234</c:v>
                </c:pt>
                <c:pt idx="345">
                  <c:v>71.315991669807858</c:v>
                </c:pt>
                <c:pt idx="346">
                  <c:v>71.244472444655997</c:v>
                </c:pt>
                <c:pt idx="347">
                  <c:v>71.173058845416264</c:v>
                </c:pt>
                <c:pt idx="348">
                  <c:v>71.101750483579309</c:v>
                </c:pt>
                <c:pt idx="349">
                  <c:v>71.030546973298115</c:v>
                </c:pt>
                <c:pt idx="350">
                  <c:v>70.95944793136124</c:v>
                </c:pt>
                <c:pt idx="351">
                  <c:v>70.888452977166565</c:v>
                </c:pt>
                <c:pt idx="352">
                  <c:v>70.817561732696589</c:v>
                </c:pt>
                <c:pt idx="353">
                  <c:v>70.746773822492486</c:v>
                </c:pt>
                <c:pt idx="354">
                  <c:v>70.67608887362924</c:v>
                </c:pt>
                <c:pt idx="355">
                  <c:v>70.605506515691701</c:v>
                </c:pt>
                <c:pt idx="356">
                  <c:v>70.53502638074923</c:v>
                </c:pt>
                <c:pt idx="357">
                  <c:v>70.464648103332493</c:v>
                </c:pt>
                <c:pt idx="358">
                  <c:v>70.394371320409448</c:v>
                </c:pt>
                <c:pt idx="359">
                  <c:v>70.324195671362034</c:v>
                </c:pt>
                <c:pt idx="360">
                  <c:v>70.254120797963154</c:v>
                </c:pt>
                <c:pt idx="361">
                  <c:v>70.184146344353294</c:v>
                </c:pt>
                <c:pt idx="362">
                  <c:v>70.114271957018914</c:v>
                </c:pt>
                <c:pt idx="363">
                  <c:v>70.044497284769051</c:v>
                </c:pt>
                <c:pt idx="364">
                  <c:v>69.974821978714488</c:v>
                </c:pt>
                <c:pt idx="365">
                  <c:v>69.905245692245188</c:v>
                </c:pt>
                <c:pt idx="366">
                  <c:v>69.835768081009121</c:v>
                </c:pt>
                <c:pt idx="367">
                  <c:v>69.76638880289093</c:v>
                </c:pt>
                <c:pt idx="368">
                  <c:v>69.697107517991284</c:v>
                </c:pt>
                <c:pt idx="369">
                  <c:v>69.627923888605991</c:v>
                </c:pt>
                <c:pt idx="370">
                  <c:v>69.558837579205402</c:v>
                </c:pt>
                <c:pt idx="371">
                  <c:v>69.489848256414589</c:v>
                </c:pt>
                <c:pt idx="372">
                  <c:v>69.420955588993209</c:v>
                </c:pt>
                <c:pt idx="373">
                  <c:v>69.352159247815379</c:v>
                </c:pt>
                <c:pt idx="374">
                  <c:v>69.283458905851035</c:v>
                </c:pt>
                <c:pt idx="375">
                  <c:v>69.214854238145989</c:v>
                </c:pt>
                <c:pt idx="376">
                  <c:v>69.146344921803333</c:v>
                </c:pt>
                <c:pt idx="377">
                  <c:v>69.077930635964407</c:v>
                </c:pt>
                <c:pt idx="378">
                  <c:v>69.009611061790167</c:v>
                </c:pt>
                <c:pt idx="379">
                  <c:v>68.941385882443257</c:v>
                </c:pt>
                <c:pt idx="380">
                  <c:v>68.873254783069385</c:v>
                </c:pt>
                <c:pt idx="381">
                  <c:v>68.805217450779594</c:v>
                </c:pt>
                <c:pt idx="382">
                  <c:v>68.73727357463261</c:v>
                </c:pt>
                <c:pt idx="383">
                  <c:v>68.669422845617305</c:v>
                </c:pt>
                <c:pt idx="384">
                  <c:v>68.601664956635418</c:v>
                </c:pt>
                <c:pt idx="385">
                  <c:v>68.533999602484158</c:v>
                </c:pt>
                <c:pt idx="386">
                  <c:v>68.466426479839996</c:v>
                </c:pt>
                <c:pt idx="387">
                  <c:v>68.398945287241105</c:v>
                </c:pt>
                <c:pt idx="388">
                  <c:v>68.331555725071325</c:v>
                </c:pt>
                <c:pt idx="389">
                  <c:v>68.264257495544015</c:v>
                </c:pt>
                <c:pt idx="390">
                  <c:v>68.197050302685469</c:v>
                </c:pt>
                <c:pt idx="391">
                  <c:v>68.129933852319027</c:v>
                </c:pt>
                <c:pt idx="392">
                  <c:v>68.062907852049548</c:v>
                </c:pt>
                <c:pt idx="393">
                  <c:v>67.9959720112479</c:v>
                </c:pt>
                <c:pt idx="394">
                  <c:v>67.929126041034962</c:v>
                </c:pt>
                <c:pt idx="395">
                  <c:v>67.862369654267027</c:v>
                </c:pt>
                <c:pt idx="396">
                  <c:v>67.795702565520259</c:v>
                </c:pt>
                <c:pt idx="397">
                  <c:v>67.72912449107632</c:v>
                </c:pt>
                <c:pt idx="398">
                  <c:v>67.662635148906801</c:v>
                </c:pt>
                <c:pt idx="399">
                  <c:v>67.596234258659464</c:v>
                </c:pt>
                <c:pt idx="400">
                  <c:v>67.529921541643631</c:v>
                </c:pt>
                <c:pt idx="401">
                  <c:v>67.46369672081552</c:v>
                </c:pt>
                <c:pt idx="402">
                  <c:v>67.397559520764844</c:v>
                </c:pt>
                <c:pt idx="403">
                  <c:v>67.331509667699933</c:v>
                </c:pt>
                <c:pt idx="404">
                  <c:v>67.2655468894352</c:v>
                </c:pt>
                <c:pt idx="405">
                  <c:v>67.199670915376259</c:v>
                </c:pt>
                <c:pt idx="406">
                  <c:v>67.133881476507298</c:v>
                </c:pt>
                <c:pt idx="407">
                  <c:v>67.068178305377586</c:v>
                </c:pt>
                <c:pt idx="408">
                  <c:v>67.002561136087834</c:v>
                </c:pt>
                <c:pt idx="409">
                  <c:v>66.937029704277847</c:v>
                </c:pt>
                <c:pt idx="410">
                  <c:v>66.871583747112979</c:v>
                </c:pt>
                <c:pt idx="411">
                  <c:v>66.806223003271938</c:v>
                </c:pt>
                <c:pt idx="412">
                  <c:v>66.740947212933605</c:v>
                </c:pt>
                <c:pt idx="413">
                  <c:v>66.67575611776509</c:v>
                </c:pt>
                <c:pt idx="414">
                  <c:v>66.61064946090903</c:v>
                </c:pt>
                <c:pt idx="415">
                  <c:v>66.545626986971584</c:v>
                </c:pt>
                <c:pt idx="416">
                  <c:v>66.480688442009992</c:v>
                </c:pt>
                <c:pt idx="417">
                  <c:v>66.415833573521212</c:v>
                </c:pt>
                <c:pt idx="418">
                  <c:v>66.351062130429497</c:v>
                </c:pt>
                <c:pt idx="419">
                  <c:v>66.286373863075056</c:v>
                </c:pt>
                <c:pt idx="420">
                  <c:v>66.221768523202357</c:v>
                </c:pt>
                <c:pt idx="421">
                  <c:v>66.157245863948589</c:v>
                </c:pt>
                <c:pt idx="422">
                  <c:v>66.092805639832591</c:v>
                </c:pt>
                <c:pt idx="423">
                  <c:v>66.028447606743214</c:v>
                </c:pt>
                <c:pt idx="424">
                  <c:v>65.964171521928776</c:v>
                </c:pt>
                <c:pt idx="425">
                  <c:v>65.89997714398541</c:v>
                </c:pt>
                <c:pt idx="426">
                  <c:v>65.835864232847101</c:v>
                </c:pt>
                <c:pt idx="427">
                  <c:v>65.771832549773819</c:v>
                </c:pt>
                <c:pt idx="428">
                  <c:v>65.707881857341718</c:v>
                </c:pt>
                <c:pt idx="429">
                  <c:v>65.644011919432515</c:v>
                </c:pt>
                <c:pt idx="430">
                  <c:v>65.580222501222792</c:v>
                </c:pt>
                <c:pt idx="431">
                  <c:v>65.516513369173495</c:v>
                </c:pt>
                <c:pt idx="432">
                  <c:v>65.452884291020482</c:v>
                </c:pt>
                <c:pt idx="433">
                  <c:v>65.389335035763793</c:v>
                </c:pt>
                <c:pt idx="434">
                  <c:v>65.325865373657592</c:v>
                </c:pt>
                <c:pt idx="435">
                  <c:v>65.262475076200943</c:v>
                </c:pt>
                <c:pt idx="436">
                  <c:v>65.199163916127318</c:v>
                </c:pt>
                <c:pt idx="437">
                  <c:v>65.135931667395113</c:v>
                </c:pt>
                <c:pt idx="438">
                  <c:v>65.072778105178344</c:v>
                </c:pt>
                <c:pt idx="439">
                  <c:v>65.009703005856721</c:v>
                </c:pt>
                <c:pt idx="440">
                  <c:v>64.946706147006552</c:v>
                </c:pt>
                <c:pt idx="441">
                  <c:v>64.883787307391174</c:v>
                </c:pt>
                <c:pt idx="442">
                  <c:v>64.820946266952106</c:v>
                </c:pt>
                <c:pt idx="443">
                  <c:v>64.758182806799539</c:v>
                </c:pt>
                <c:pt idx="444">
                  <c:v>64.695496709203482</c:v>
                </c:pt>
                <c:pt idx="445">
                  <c:v>64.632887757585081</c:v>
                </c:pt>
                <c:pt idx="446">
                  <c:v>64.570355736507238</c:v>
                </c:pt>
                <c:pt idx="447">
                  <c:v>64.507900431666229</c:v>
                </c:pt>
                <c:pt idx="448">
                  <c:v>64.445521629882862</c:v>
                </c:pt>
                <c:pt idx="449">
                  <c:v>64.383219119094079</c:v>
                </c:pt>
                <c:pt idx="450">
                  <c:v>64.320992688344262</c:v>
                </c:pt>
                <c:pt idx="451">
                  <c:v>64.258842127776916</c:v>
                </c:pt>
                <c:pt idx="452">
                  <c:v>64.196767228626229</c:v>
                </c:pt>
                <c:pt idx="453">
                  <c:v>64.134767783209128</c:v>
                </c:pt>
                <c:pt idx="454">
                  <c:v>64.072843584916555</c:v>
                </c:pt>
                <c:pt idx="455">
                  <c:v>64.010994428205962</c:v>
                </c:pt>
                <c:pt idx="456">
                  <c:v>63.949220108592954</c:v>
                </c:pt>
                <c:pt idx="457">
                  <c:v>63.887520422643234</c:v>
                </c:pt>
                <c:pt idx="458">
                  <c:v>63.825895167965264</c:v>
                </c:pt>
                <c:pt idx="459">
                  <c:v>63.764344143202024</c:v>
                </c:pt>
                <c:pt idx="460">
                  <c:v>63.702867148023323</c:v>
                </c:pt>
                <c:pt idx="461">
                  <c:v>63.641463983118541</c:v>
                </c:pt>
                <c:pt idx="462">
                  <c:v>63.580134450188666</c:v>
                </c:pt>
                <c:pt idx="463">
                  <c:v>63.518878351938795</c:v>
                </c:pt>
                <c:pt idx="464">
                  <c:v>63.457695492071451</c:v>
                </c:pt>
                <c:pt idx="465">
                  <c:v>63.396585675278004</c:v>
                </c:pt>
                <c:pt idx="466">
                  <c:v>63.33554870723264</c:v>
                </c:pt>
                <c:pt idx="467">
                  <c:v>63.274584394584075</c:v>
                </c:pt>
                <c:pt idx="468">
                  <c:v>63.213692544949524</c:v>
                </c:pt>
                <c:pt idx="469">
                  <c:v>63.15287296690655</c:v>
                </c:pt>
                <c:pt idx="470">
                  <c:v>63.092125469986733</c:v>
                </c:pt>
                <c:pt idx="471">
                  <c:v>63.031449864668694</c:v>
                </c:pt>
                <c:pt idx="472">
                  <c:v>62.970845962370952</c:v>
                </c:pt>
                <c:pt idx="473">
                  <c:v>62.910313575445443</c:v>
                </c:pt>
                <c:pt idx="474">
                  <c:v>62.849852517170376</c:v>
                </c:pt>
                <c:pt idx="475">
                  <c:v>62.789462601743942</c:v>
                </c:pt>
                <c:pt idx="476">
                  <c:v>62.729143644277514</c:v>
                </c:pt>
                <c:pt idx="477">
                  <c:v>62.668895460789194</c:v>
                </c:pt>
                <c:pt idx="478">
                  <c:v>62.608717868197225</c:v>
                </c:pt>
                <c:pt idx="479">
                  <c:v>62.548610684313466</c:v>
                </c:pt>
                <c:pt idx="480">
                  <c:v>62.488573727837334</c:v>
                </c:pt>
                <c:pt idx="481">
                  <c:v>62.428606818349309</c:v>
                </c:pt>
                <c:pt idx="482">
                  <c:v>62.368709776304478</c:v>
                </c:pt>
                <c:pt idx="483">
                  <c:v>62.30888242302683</c:v>
                </c:pt>
                <c:pt idx="484">
                  <c:v>62.249124580702556</c:v>
                </c:pt>
                <c:pt idx="485">
                  <c:v>62.189436072374349</c:v>
                </c:pt>
                <c:pt idx="486">
                  <c:v>62.129816721935462</c:v>
                </c:pt>
                <c:pt idx="487">
                  <c:v>62.07026635412312</c:v>
                </c:pt>
                <c:pt idx="488">
                  <c:v>62.010784794513548</c:v>
                </c:pt>
                <c:pt idx="489">
                  <c:v>61.951371869515008</c:v>
                </c:pt>
                <c:pt idx="490">
                  <c:v>61.892027406363162</c:v>
                </c:pt>
                <c:pt idx="491">
                  <c:v>61.83275123311428</c:v>
                </c:pt>
                <c:pt idx="492">
                  <c:v>61.773543178640054</c:v>
                </c:pt>
                <c:pt idx="493">
                  <c:v>61.714403072622027</c:v>
                </c:pt>
                <c:pt idx="494">
                  <c:v>61.655330745545825</c:v>
                </c:pt>
                <c:pt idx="495">
                  <c:v>61.596326028695344</c:v>
                </c:pt>
                <c:pt idx="496">
                  <c:v>61.537388754147713</c:v>
                </c:pt>
                <c:pt idx="497">
                  <c:v>61.478518754767691</c:v>
                </c:pt>
                <c:pt idx="498">
                  <c:v>61.41971586420199</c:v>
                </c:pt>
                <c:pt idx="499">
                  <c:v>61.360979916874435</c:v>
                </c:pt>
                <c:pt idx="500">
                  <c:v>61.302310747980137</c:v>
                </c:pt>
                <c:pt idx="501">
                  <c:v>61.243708193480458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F9-4658-9691-6B77A0FC5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27600"/>
        <c:axId val="49728560"/>
      </c:scatterChart>
      <c:valAx>
        <c:axId val="4972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728560"/>
        <c:crosses val="autoZero"/>
        <c:crossBetween val="midCat"/>
      </c:valAx>
      <c:valAx>
        <c:axId val="497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72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RETURNS</a:t>
            </a:r>
            <a:r>
              <a:rPr lang="es-ES" b="1" baseline="0"/>
              <a:t> DISTRIBUTION</a:t>
            </a:r>
            <a:r>
              <a:rPr lang="es-E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0782089806493735E-2"/>
          <c:y val="0.15090563927303521"/>
          <c:w val="0.9350622506374443"/>
          <c:h val="0.82584629985154423"/>
        </c:manualLayout>
      </c:layout>
      <c:scatterChart>
        <c:scatterStyle val="smoothMarker"/>
        <c:varyColors val="0"/>
        <c:ser>
          <c:idx val="0"/>
          <c:order val="0"/>
          <c:tx>
            <c:v>Actual Log Return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MME!$AF$2:$AF$52</c:f>
              <c:numCache>
                <c:formatCode>General</c:formatCode>
                <c:ptCount val="51"/>
                <c:pt idx="0" formatCode="0.0000">
                  <c:v>-4.1301895875038123E-2</c:v>
                </c:pt>
                <c:pt idx="1">
                  <c:v>-3.4449553084180712E-2</c:v>
                </c:pt>
                <c:pt idx="2">
                  <c:v>-2.75972102933233E-2</c:v>
                </c:pt>
                <c:pt idx="3">
                  <c:v>-2.0744867502465889E-2</c:v>
                </c:pt>
                <c:pt idx="4">
                  <c:v>-1.3892524711608475E-2</c:v>
                </c:pt>
                <c:pt idx="5">
                  <c:v>-7.0401819207510617E-3</c:v>
                </c:pt>
                <c:pt idx="6">
                  <c:v>-1.8783912989364833E-4</c:v>
                </c:pt>
                <c:pt idx="7">
                  <c:v>6.6645036609637651E-3</c:v>
                </c:pt>
                <c:pt idx="8">
                  <c:v>1.3516846451821178E-2</c:v>
                </c:pt>
                <c:pt idx="9">
                  <c:v>2.0369189242678592E-2</c:v>
                </c:pt>
                <c:pt idx="10">
                  <c:v>2.7221532033536007E-2</c:v>
                </c:pt>
                <c:pt idx="11">
                  <c:v>3.4073874824393419E-2</c:v>
                </c:pt>
                <c:pt idx="12">
                  <c:v>4.092621761525083E-2</c:v>
                </c:pt>
                <c:pt idx="13">
                  <c:v>4.7778560406108242E-2</c:v>
                </c:pt>
                <c:pt idx="14">
                  <c:v>5.4630903196965654E-2</c:v>
                </c:pt>
                <c:pt idx="15">
                  <c:v>6.1483245987823065E-2</c:v>
                </c:pt>
                <c:pt idx="16">
                  <c:v>6.8335588778680484E-2</c:v>
                </c:pt>
                <c:pt idx="17">
                  <c:v>7.5187931569537902E-2</c:v>
                </c:pt>
                <c:pt idx="18">
                  <c:v>8.2040274360395321E-2</c:v>
                </c:pt>
                <c:pt idx="19">
                  <c:v>8.889261715125274E-2</c:v>
                </c:pt>
                <c:pt idx="20">
                  <c:v>9.5744959942110158E-2</c:v>
                </c:pt>
                <c:pt idx="21">
                  <c:v>0.10259730273296758</c:v>
                </c:pt>
                <c:pt idx="22">
                  <c:v>0.109449645523825</c:v>
                </c:pt>
                <c:pt idx="23">
                  <c:v>0.11630198831468241</c:v>
                </c:pt>
                <c:pt idx="24">
                  <c:v>0.12315433110553983</c:v>
                </c:pt>
                <c:pt idx="25">
                  <c:v>0.13000667389639725</c:v>
                </c:pt>
                <c:pt idx="26">
                  <c:v>0.13685901668725467</c:v>
                </c:pt>
                <c:pt idx="27">
                  <c:v>0.14371135947811209</c:v>
                </c:pt>
                <c:pt idx="28">
                  <c:v>0.15056370226896951</c:v>
                </c:pt>
                <c:pt idx="29">
                  <c:v>0.15741604505982693</c:v>
                </c:pt>
                <c:pt idx="30">
                  <c:v>0.16426838785068434</c:v>
                </c:pt>
                <c:pt idx="31">
                  <c:v>0.17112073064154176</c:v>
                </c:pt>
                <c:pt idx="32">
                  <c:v>0.17797307343239918</c:v>
                </c:pt>
                <c:pt idx="33">
                  <c:v>0.1848254162232566</c:v>
                </c:pt>
                <c:pt idx="34">
                  <c:v>0.19167775901411402</c:v>
                </c:pt>
                <c:pt idx="35">
                  <c:v>0.19853010180497144</c:v>
                </c:pt>
                <c:pt idx="36">
                  <c:v>0.20538244459582886</c:v>
                </c:pt>
                <c:pt idx="37">
                  <c:v>0.21223478738668627</c:v>
                </c:pt>
                <c:pt idx="38">
                  <c:v>0.21908713017754369</c:v>
                </c:pt>
                <c:pt idx="39">
                  <c:v>0.22593947296840111</c:v>
                </c:pt>
                <c:pt idx="40">
                  <c:v>0.23279181575925853</c:v>
                </c:pt>
                <c:pt idx="41">
                  <c:v>0.23964415855011595</c:v>
                </c:pt>
                <c:pt idx="42">
                  <c:v>0.24649650134097337</c:v>
                </c:pt>
                <c:pt idx="43">
                  <c:v>0.25334884413183079</c:v>
                </c:pt>
                <c:pt idx="44">
                  <c:v>0.26020118692268818</c:v>
                </c:pt>
                <c:pt idx="45">
                  <c:v>0.26705352971354557</c:v>
                </c:pt>
                <c:pt idx="46">
                  <c:v>0.27390587250440296</c:v>
                </c:pt>
                <c:pt idx="47">
                  <c:v>0.28075821529526035</c:v>
                </c:pt>
                <c:pt idx="48">
                  <c:v>0.28761055808611774</c:v>
                </c:pt>
                <c:pt idx="49">
                  <c:v>0.29446290087697513</c:v>
                </c:pt>
                <c:pt idx="50">
                  <c:v>0.30131524366783252</c:v>
                </c:pt>
              </c:numCache>
            </c:numRef>
          </c:xVal>
          <c:yVal>
            <c:numRef>
              <c:f>MME!$AH$2:$AH$52</c:f>
              <c:numCache>
                <c:formatCode>0%</c:formatCode>
                <c:ptCount val="51"/>
                <c:pt idx="0">
                  <c:v>1.9920318725099601E-3</c:v>
                </c:pt>
                <c:pt idx="1">
                  <c:v>1.9920318725099601E-3</c:v>
                </c:pt>
                <c:pt idx="2">
                  <c:v>1.9920318725099601E-3</c:v>
                </c:pt>
                <c:pt idx="3">
                  <c:v>2.3904382470119521E-2</c:v>
                </c:pt>
                <c:pt idx="4">
                  <c:v>4.5816733067729085E-2</c:v>
                </c:pt>
                <c:pt idx="5">
                  <c:v>0.11354581673306773</c:v>
                </c:pt>
                <c:pt idx="6">
                  <c:v>0.28685258964143429</c:v>
                </c:pt>
                <c:pt idx="7">
                  <c:v>0.31075697211155379</c:v>
                </c:pt>
                <c:pt idx="8">
                  <c:v>0.16733067729083664</c:v>
                </c:pt>
                <c:pt idx="9">
                  <c:v>3.9840637450199202E-2</c:v>
                </c:pt>
                <c:pt idx="10">
                  <c:v>5.9760956175298804E-3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DF-4A80-A423-0AD826470282}"/>
            </c:ext>
          </c:extLst>
        </c:ser>
        <c:ser>
          <c:idx val="1"/>
          <c:order val="1"/>
          <c:tx>
            <c:v>Calculated Log Return</c:v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MME!$AF$2:$AF$52</c:f>
              <c:numCache>
                <c:formatCode>General</c:formatCode>
                <c:ptCount val="51"/>
                <c:pt idx="0" formatCode="0.0000">
                  <c:v>-4.1301895875038123E-2</c:v>
                </c:pt>
                <c:pt idx="1">
                  <c:v>-3.4449553084180712E-2</c:v>
                </c:pt>
                <c:pt idx="2">
                  <c:v>-2.75972102933233E-2</c:v>
                </c:pt>
                <c:pt idx="3">
                  <c:v>-2.0744867502465889E-2</c:v>
                </c:pt>
                <c:pt idx="4">
                  <c:v>-1.3892524711608475E-2</c:v>
                </c:pt>
                <c:pt idx="5">
                  <c:v>-7.0401819207510617E-3</c:v>
                </c:pt>
                <c:pt idx="6">
                  <c:v>-1.8783912989364833E-4</c:v>
                </c:pt>
                <c:pt idx="7">
                  <c:v>6.6645036609637651E-3</c:v>
                </c:pt>
                <c:pt idx="8">
                  <c:v>1.3516846451821178E-2</c:v>
                </c:pt>
                <c:pt idx="9">
                  <c:v>2.0369189242678592E-2</c:v>
                </c:pt>
                <c:pt idx="10">
                  <c:v>2.7221532033536007E-2</c:v>
                </c:pt>
                <c:pt idx="11">
                  <c:v>3.4073874824393419E-2</c:v>
                </c:pt>
                <c:pt idx="12">
                  <c:v>4.092621761525083E-2</c:v>
                </c:pt>
                <c:pt idx="13">
                  <c:v>4.7778560406108242E-2</c:v>
                </c:pt>
                <c:pt idx="14">
                  <c:v>5.4630903196965654E-2</c:v>
                </c:pt>
                <c:pt idx="15">
                  <c:v>6.1483245987823065E-2</c:v>
                </c:pt>
                <c:pt idx="16">
                  <c:v>6.8335588778680484E-2</c:v>
                </c:pt>
                <c:pt idx="17">
                  <c:v>7.5187931569537902E-2</c:v>
                </c:pt>
                <c:pt idx="18">
                  <c:v>8.2040274360395321E-2</c:v>
                </c:pt>
                <c:pt idx="19">
                  <c:v>8.889261715125274E-2</c:v>
                </c:pt>
                <c:pt idx="20">
                  <c:v>9.5744959942110158E-2</c:v>
                </c:pt>
                <c:pt idx="21">
                  <c:v>0.10259730273296758</c:v>
                </c:pt>
                <c:pt idx="22">
                  <c:v>0.109449645523825</c:v>
                </c:pt>
                <c:pt idx="23">
                  <c:v>0.11630198831468241</c:v>
                </c:pt>
                <c:pt idx="24">
                  <c:v>0.12315433110553983</c:v>
                </c:pt>
                <c:pt idx="25">
                  <c:v>0.13000667389639725</c:v>
                </c:pt>
                <c:pt idx="26">
                  <c:v>0.13685901668725467</c:v>
                </c:pt>
                <c:pt idx="27">
                  <c:v>0.14371135947811209</c:v>
                </c:pt>
                <c:pt idx="28">
                  <c:v>0.15056370226896951</c:v>
                </c:pt>
                <c:pt idx="29">
                  <c:v>0.15741604505982693</c:v>
                </c:pt>
                <c:pt idx="30">
                  <c:v>0.16426838785068434</c:v>
                </c:pt>
                <c:pt idx="31">
                  <c:v>0.17112073064154176</c:v>
                </c:pt>
                <c:pt idx="32">
                  <c:v>0.17797307343239918</c:v>
                </c:pt>
                <c:pt idx="33">
                  <c:v>0.1848254162232566</c:v>
                </c:pt>
                <c:pt idx="34">
                  <c:v>0.19167775901411402</c:v>
                </c:pt>
                <c:pt idx="35">
                  <c:v>0.19853010180497144</c:v>
                </c:pt>
                <c:pt idx="36">
                  <c:v>0.20538244459582886</c:v>
                </c:pt>
                <c:pt idx="37">
                  <c:v>0.21223478738668627</c:v>
                </c:pt>
                <c:pt idx="38">
                  <c:v>0.21908713017754369</c:v>
                </c:pt>
                <c:pt idx="39">
                  <c:v>0.22593947296840111</c:v>
                </c:pt>
                <c:pt idx="40">
                  <c:v>0.23279181575925853</c:v>
                </c:pt>
                <c:pt idx="41">
                  <c:v>0.23964415855011595</c:v>
                </c:pt>
                <c:pt idx="42">
                  <c:v>0.24649650134097337</c:v>
                </c:pt>
                <c:pt idx="43">
                  <c:v>0.25334884413183079</c:v>
                </c:pt>
                <c:pt idx="44">
                  <c:v>0.26020118692268818</c:v>
                </c:pt>
                <c:pt idx="45">
                  <c:v>0.26705352971354557</c:v>
                </c:pt>
                <c:pt idx="46">
                  <c:v>0.27390587250440296</c:v>
                </c:pt>
                <c:pt idx="47">
                  <c:v>0.28075821529526035</c:v>
                </c:pt>
                <c:pt idx="48">
                  <c:v>0.28761055808611774</c:v>
                </c:pt>
                <c:pt idx="49">
                  <c:v>0.29446290087697513</c:v>
                </c:pt>
                <c:pt idx="50">
                  <c:v>0.30131524366783252</c:v>
                </c:pt>
              </c:numCache>
            </c:numRef>
          </c:xVal>
          <c:yVal>
            <c:numRef>
              <c:f>MME!$AJ$2:$AJ$52</c:f>
              <c:numCache>
                <c:formatCode>0%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7.9681274900398405E-3</c:v>
                </c:pt>
                <c:pt idx="4">
                  <c:v>7.1713147410358571E-2</c:v>
                </c:pt>
                <c:pt idx="5">
                  <c:v>0.18725099601593626</c:v>
                </c:pt>
                <c:pt idx="6">
                  <c:v>0.25099601593625498</c:v>
                </c:pt>
                <c:pt idx="7">
                  <c:v>0.27091633466135456</c:v>
                </c:pt>
                <c:pt idx="8">
                  <c:v>0.15139442231075698</c:v>
                </c:pt>
                <c:pt idx="9">
                  <c:v>5.1792828685258967E-2</c:v>
                </c:pt>
                <c:pt idx="10">
                  <c:v>3.9840637450199202E-3</c:v>
                </c:pt>
                <c:pt idx="11">
                  <c:v>3.9840637450199202E-3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DF-4A80-A423-0AD826470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41456"/>
        <c:axId val="535142896"/>
      </c:scatterChart>
      <c:valAx>
        <c:axId val="535141456"/>
        <c:scaling>
          <c:orientation val="minMax"/>
          <c:max val="7.0000000000000007E-2"/>
          <c:min val="-7.0000000000000007E-2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5142896"/>
        <c:crosses val="autoZero"/>
        <c:crossBetween val="midCat"/>
        <c:minorUnit val="2.0000000000000005E-3"/>
      </c:valAx>
      <c:valAx>
        <c:axId val="535142896"/>
        <c:scaling>
          <c:orientation val="minMax"/>
          <c:max val="0.32000000000000006"/>
          <c:min val="0"/>
        </c:scaling>
        <c:delete val="0"/>
        <c:axPos val="l"/>
        <c:numFmt formatCode="0%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514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F09564-85AD-4D2A-A437-8A20046DD961}">
  <sheetPr/>
  <sheetViews>
    <sheetView zoomScale="8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28BC86-2A5A-4805-8AE9-8526EA234FCB}">
  <sheetPr/>
  <sheetViews>
    <sheetView tabSelected="1"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708660</xdr:colOff>
      <xdr:row>3</xdr:row>
      <xdr:rowOff>22860</xdr:rowOff>
    </xdr:from>
    <xdr:to>
      <xdr:col>24</xdr:col>
      <xdr:colOff>579547</xdr:colOff>
      <xdr:row>19</xdr:row>
      <xdr:rowOff>144833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74952915-4868-2915-F0F1-9015711CFE09}"/>
            </a:ext>
          </a:extLst>
        </xdr:cNvPr>
        <xdr:cNvGrpSpPr/>
      </xdr:nvGrpSpPr>
      <xdr:grpSpPr>
        <a:xfrm>
          <a:off x="16428720" y="1021080"/>
          <a:ext cx="4953427" cy="3048053"/>
          <a:chOff x="11079480" y="868680"/>
          <a:chExt cx="4930567" cy="3048053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4FB60DE9-4E1A-EB03-A21D-A3E208294D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9335" r="6643"/>
          <a:stretch/>
        </xdr:blipFill>
        <xdr:spPr>
          <a:xfrm>
            <a:off x="11109960" y="2567940"/>
            <a:ext cx="4259579" cy="762066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77381942-EB86-4DAE-DFB0-E0D9621E0C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117580" y="868680"/>
            <a:ext cx="4244708" cy="1752752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5567CD9C-CECC-411A-1840-300C3B7E81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1079480" y="3307080"/>
            <a:ext cx="4930567" cy="609653"/>
          </a:xfrm>
          <a:prstGeom prst="rect">
            <a:avLst/>
          </a:prstGeom>
        </xdr:spPr>
      </xdr:pic>
    </xdr:grpSp>
    <xdr:clientData/>
  </xdr:twoCellAnchor>
  <xdr:twoCellAnchor editAs="oneCell">
    <xdr:from>
      <xdr:col>24</xdr:col>
      <xdr:colOff>175260</xdr:colOff>
      <xdr:row>2</xdr:row>
      <xdr:rowOff>68579</xdr:rowOff>
    </xdr:from>
    <xdr:to>
      <xdr:col>28</xdr:col>
      <xdr:colOff>632460</xdr:colOff>
      <xdr:row>14</xdr:row>
      <xdr:rowOff>180026</xdr:rowOff>
    </xdr:to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D5F34D82-6D71-CED9-C19E-ACBEA1EC4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1120" y="883919"/>
          <a:ext cx="3779520" cy="2306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A9C4D9-2E16-823B-DBEB-23C05BB693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8AF354-CCD7-2604-FDEE-2CD08AE2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v521" id="{539FBD7E-DB88-41DA-AEB9-02140A2D6607}" userId="S::iv521@15.a1p.me::c2cc39f1-86b6-4341-b6f9-df84257508fc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B45FCD8-7CF4-481C-B59E-B54BD2D12510}" autoFormatId="16" applyNumberFormats="0" applyBorderFormats="0" applyFontFormats="0" applyPatternFormats="0" applyAlignmentFormats="0" applyWidthHeightFormats="0">
  <queryTableRefresh nextId="6">
    <queryTableFields count="5">
      <queryTableField id="1" name="Fecha" tableColumnId="1"/>
      <queryTableField id="2" name="Apertura" tableColumnId="2"/>
      <queryTableField id="3" name="Alto" tableColumnId="3"/>
      <queryTableField id="4" name="Bajo" tableColumnId="4"/>
      <queryTableField id="5" name="Cierre" tableColumnId="5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1" c="522">
    <v t="i">0</v>
    <v t="i">1</v>
    <v t="i">4</v>
    <v t="i">5</v>
    <v t="i">6</v>
    <v t="i">7</v>
    <v t="i">8</v>
    <v t="i">11</v>
    <v t="i">12</v>
    <v t="i">13</v>
    <v t="i">14</v>
    <v t="i">15</v>
    <v t="i">18</v>
    <v t="i">19</v>
    <v t="i">20</v>
    <v t="i">21</v>
    <v t="i">22</v>
    <v t="i">25</v>
    <v t="i">26</v>
    <v t="i">27</v>
    <v t="i">28</v>
    <v t="i">29</v>
    <v t="i">32</v>
    <v t="i">33</v>
    <v t="i">34</v>
    <v t="i">35</v>
    <v t="i">36</v>
    <v t="i">39</v>
    <v t="i">40</v>
    <v t="i">41</v>
    <v t="i">42</v>
    <v t="i">43</v>
    <v t="i">46</v>
    <v t="i">47</v>
    <v t="i">48</v>
    <v t="i">49</v>
    <v t="i">50</v>
    <v t="i">53</v>
    <v t="i">54</v>
    <v t="i">55</v>
    <v t="i">56</v>
    <v t="i">57</v>
    <v t="i">60</v>
    <v t="i">61</v>
    <v t="i">62</v>
    <v t="i">63</v>
    <v t="i">64</v>
    <v t="i">67</v>
    <v t="i">68</v>
    <v t="i">69</v>
    <v t="i">70</v>
    <v t="i">71</v>
    <v t="i">74</v>
    <v t="i">75</v>
    <v t="i">76</v>
    <v t="i">77</v>
    <v t="i">78</v>
    <v t="i">81</v>
    <v t="i">82</v>
    <v t="i">83</v>
    <v t="i">84</v>
    <v t="i">85</v>
    <v t="i">88</v>
    <v t="i">89</v>
    <v t="i">90</v>
    <v t="i">91</v>
    <v t="i">92</v>
    <v t="i">95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116</v>
    <v t="i">117</v>
    <v t="i">118</v>
    <v t="i">119</v>
    <v t="i">120</v>
    <v t="i">123</v>
    <v t="i">124</v>
    <v t="i">125</v>
    <v t="i">126</v>
    <v t="i">127</v>
    <v t="i">130</v>
    <v t="i">131</v>
    <v t="i">132</v>
    <v t="i">133</v>
    <v t="i">134</v>
    <v t="i">137</v>
    <v t="i">138</v>
    <v t="i">139</v>
    <v t="i">140</v>
    <v t="i">141</v>
    <v t="i">144</v>
    <v t="i">145</v>
    <v t="i">146</v>
    <v t="i">147</v>
    <v t="i">148</v>
    <v t="i">151</v>
    <v t="i">152</v>
    <v t="i">153</v>
    <v t="i">154</v>
    <v t="i">155</v>
    <v t="i">158</v>
    <v t="i">159</v>
    <v t="i">160</v>
    <v t="i">161</v>
    <v t="i">162</v>
    <v t="i">165</v>
    <v t="i">166</v>
    <v t="i">167</v>
    <v t="i">168</v>
    <v t="i">169</v>
    <v t="i">172</v>
    <v t="i">173</v>
    <v t="i">174</v>
    <v t="i">175</v>
    <v t="i">176</v>
    <v t="i">179</v>
    <v t="i">180</v>
    <v t="i">181</v>
    <v t="i">182</v>
    <v t="i">183</v>
    <v t="i">186</v>
    <v t="i">187</v>
    <v t="i">188</v>
    <v t="i">189</v>
    <v t="i">190</v>
    <v t="i">193</v>
    <v t="i">194</v>
    <v t="i">195</v>
    <v t="i">196</v>
    <v t="i">197</v>
    <v t="i">200</v>
    <v t="i">201</v>
    <v t="i">202</v>
    <v t="i">203</v>
    <v t="i">204</v>
    <v t="i">207</v>
    <v t="i">208</v>
    <v t="i">209</v>
    <v t="i">210</v>
    <v t="i">211</v>
    <v t="i">214</v>
    <v t="i">215</v>
    <v t="i">216</v>
    <v t="i">217</v>
    <v t="i">218</v>
    <v t="i">221</v>
    <v t="i">222</v>
    <v t="i">223</v>
    <v t="i">224</v>
    <v t="i">225</v>
    <v t="i">228</v>
    <v t="i">229</v>
    <v t="i">230</v>
    <v t="i">231</v>
    <v t="i">232</v>
    <v t="i">235</v>
    <v t="i">236</v>
    <v t="i">237</v>
    <v t="i">238</v>
    <v t="i">239</v>
    <v t="i">242</v>
    <v t="i">243</v>
    <v t="i">244</v>
    <v t="i">245</v>
    <v t="i">246</v>
    <v t="i">249</v>
    <v t="i">250</v>
    <v t="i">251</v>
    <v t="i">252</v>
    <v t="i">253</v>
    <v t="i">256</v>
    <v t="i">257</v>
    <v t="i">258</v>
    <v t="i">259</v>
    <v t="i">260</v>
    <v t="i">263</v>
    <v t="i">264</v>
    <v t="i">265</v>
    <v t="i">266</v>
    <v t="i">267</v>
    <v t="i">270</v>
    <v t="i">271</v>
    <v t="i">272</v>
    <v t="i">273</v>
    <v t="i">274</v>
    <v t="i">277</v>
    <v t="i">278</v>
    <v t="i">279</v>
    <v t="i">280</v>
    <v t="i">281</v>
    <v t="i">284</v>
    <v t="i">285</v>
    <v t="i">286</v>
    <v t="i">287</v>
    <v t="i">288</v>
    <v t="i">291</v>
    <v t="i">292</v>
    <v t="i">293</v>
    <v t="i">294</v>
    <v t="i">295</v>
    <v t="i">298</v>
    <v t="i">299</v>
    <v t="i">300</v>
    <v t="i">301</v>
    <v t="i">302</v>
    <v t="i">305</v>
    <v t="i">306</v>
    <v t="i">307</v>
    <v t="i">308</v>
    <v t="i">309</v>
    <v t="i">312</v>
    <v t="i">313</v>
    <v t="i">314</v>
    <v t="i">315</v>
    <v t="i">316</v>
    <v t="i">319</v>
    <v t="i">320</v>
    <v t="i">321</v>
    <v t="i">322</v>
    <v t="i">323</v>
    <v t="i">326</v>
    <v t="i">327</v>
    <v t="i">328</v>
    <v t="i">329</v>
    <v t="i">330</v>
    <v t="i">333</v>
    <v t="i">334</v>
    <v t="i">335</v>
    <v t="i">336</v>
    <v t="i">337</v>
    <v t="i">340</v>
    <v t="i">341</v>
    <v t="i">342</v>
    <v t="i">343</v>
    <v t="i">344</v>
    <v t="i">347</v>
    <v t="i">348</v>
    <v t="i">349</v>
    <v t="i">350</v>
    <v t="i">351</v>
    <v t="i">354</v>
    <v t="i">355</v>
    <v t="i">356</v>
    <v t="i">357</v>
    <v t="i">358</v>
    <v t="i">361</v>
    <v t="i">362</v>
    <v t="i">363</v>
    <v t="i">364</v>
    <v t="i">365</v>
    <v t="i">368</v>
    <v t="i">369</v>
    <v t="i">370</v>
    <v t="i">371</v>
    <v t="i">372</v>
    <v t="i">375</v>
    <v t="i">376</v>
    <v t="i">377</v>
    <v t="i">378</v>
    <v t="i">379</v>
    <v t="i">382</v>
    <v t="i">383</v>
    <v t="i">384</v>
    <v t="i">385</v>
    <v t="i">386</v>
    <v t="i">389</v>
    <v t="i">390</v>
    <v t="i">391</v>
    <v t="i">392</v>
    <v t="i">393</v>
    <v t="i">396</v>
    <v t="i">397</v>
    <v t="i">398</v>
    <v t="i">399</v>
    <v t="i">400</v>
    <v t="i">403</v>
    <v t="i">404</v>
    <v t="i">405</v>
    <v t="i">406</v>
    <v t="i">407</v>
    <v t="i">410</v>
    <v t="i">411</v>
    <v t="i">412</v>
    <v t="i">413</v>
    <v t="i">414</v>
    <v t="i">417</v>
    <v t="i">418</v>
    <v t="i">419</v>
    <v t="i">420</v>
    <v t="i">421</v>
    <v t="i">424</v>
    <v t="i">425</v>
    <v t="i">426</v>
    <v t="i">427</v>
    <v t="i">428</v>
    <v t="i">431</v>
    <v t="i">432</v>
    <v t="i">433</v>
    <v t="i">434</v>
    <v t="i">435</v>
    <v t="i">438</v>
    <v t="i">439</v>
    <v t="i">440</v>
    <v t="i">441</v>
    <v t="i">442</v>
    <v t="i">445</v>
    <v t="i">446</v>
    <v t="i">447</v>
    <v t="i">448</v>
    <v t="i">449</v>
    <v t="i">452</v>
    <v t="i">453</v>
    <v t="i">454</v>
    <v t="i">455</v>
    <v t="i">456</v>
    <v t="i">459</v>
    <v t="i">460</v>
    <v t="i">461</v>
    <v t="i">462</v>
    <v t="i">463</v>
    <v t="i">466</v>
    <v t="i">467</v>
    <v t="i">468</v>
    <v t="i">469</v>
    <v t="i">470</v>
    <v t="i">473</v>
    <v t="i">474</v>
    <v t="i">475</v>
    <v t="i">476</v>
    <v t="i">477</v>
    <v t="i">480</v>
    <v t="i">481</v>
    <v t="i">482</v>
    <v t="i">483</v>
    <v t="i">484</v>
    <v t="i">487</v>
    <v t="i">488</v>
    <v t="i">489</v>
    <v t="i">490</v>
    <v t="i">491</v>
    <v t="i">494</v>
    <v t="i">495</v>
    <v t="i">496</v>
    <v t="i">497</v>
    <v t="i">498</v>
    <v t="i">501</v>
    <v t="i">502</v>
    <v t="i">503</v>
    <v t="i">504</v>
    <v t="i">505</v>
    <v t="i">508</v>
    <v t="i">509</v>
    <v t="i">510</v>
    <v t="i">511</v>
    <v t="i">512</v>
    <v t="i">515</v>
    <v t="i">516</v>
    <v t="i">517</v>
    <v t="i">518</v>
    <v t="i">519</v>
    <v t="i">522</v>
    <v t="i">523</v>
    <v t="i">524</v>
    <v t="i">525</v>
    <v t="i">526</v>
    <v t="i">529</v>
    <v t="i">530</v>
    <v t="i">531</v>
    <v t="i">532</v>
    <v t="i">533</v>
    <v t="i">536</v>
    <v t="i">537</v>
    <v t="i">538</v>
    <v t="i">539</v>
    <v t="i">540</v>
    <v t="i">543</v>
    <v t="i">544</v>
    <v t="i">545</v>
    <v t="i">546</v>
    <v t="i">547</v>
    <v t="i">550</v>
    <v t="i">551</v>
    <v t="i">552</v>
    <v t="i">553</v>
    <v t="i">554</v>
    <v t="i">557</v>
    <v t="i">558</v>
    <v t="i">559</v>
    <v t="i">560</v>
    <v t="i">561</v>
    <v t="i">564</v>
    <v t="i">565</v>
    <v t="i">566</v>
    <v t="i">567</v>
    <v t="i">568</v>
    <v t="i">571</v>
    <v t="i">572</v>
    <v t="i">573</v>
    <v t="i">574</v>
    <v t="i">575</v>
    <v t="i">578</v>
    <v t="i">579</v>
    <v t="i">580</v>
    <v t="i">581</v>
    <v t="i">582</v>
    <v t="i">585</v>
    <v t="i">586</v>
    <v t="i">587</v>
    <v t="i">588</v>
    <v t="i">589</v>
    <v t="i">592</v>
    <v t="i">593</v>
    <v t="i">594</v>
    <v t="i">595</v>
    <v t="i">596</v>
    <v t="i">599</v>
    <v t="i">600</v>
    <v t="i">601</v>
    <v t="i">602</v>
    <v t="i">603</v>
    <v t="i">606</v>
    <v t="i">607</v>
    <v t="i">608</v>
    <v t="i">609</v>
    <v t="i">610</v>
    <v t="i">613</v>
    <v t="i">614</v>
    <v t="i">615</v>
    <v t="i">616</v>
    <v t="i">617</v>
    <v t="i">620</v>
    <v t="i">621</v>
    <v t="i">622</v>
    <v t="i">623</v>
    <v t="i">624</v>
    <v t="i">627</v>
    <v t="i">628</v>
    <v t="i">629</v>
    <v t="i">630</v>
    <v t="i">631</v>
    <v t="i">634</v>
    <v t="i">635</v>
    <v t="i">636</v>
    <v t="i">637</v>
    <v t="i">638</v>
    <v t="i">641</v>
    <v t="i">642</v>
    <v t="i">643</v>
    <v t="i">644</v>
    <v t="i">645</v>
    <v t="i">648</v>
    <v t="i">649</v>
    <v t="i">650</v>
    <v t="i">651</v>
    <v t="i">652</v>
    <v t="i">655</v>
    <v t="i">656</v>
    <v t="i">657</v>
    <v t="i">658</v>
    <v t="i">659</v>
    <v t="i">662</v>
    <v t="i">663</v>
    <v t="i">664</v>
    <v t="i">665</v>
    <v t="i">666</v>
    <v t="i">669</v>
    <v t="i">670</v>
    <v t="i">671</v>
    <v t="i">672</v>
    <v t="i">673</v>
    <v t="i">676</v>
    <v t="i">677</v>
    <v t="i">678</v>
    <v t="i">679</v>
    <v t="i">680</v>
    <v t="i">683</v>
    <v t="i">684</v>
    <v t="i">685</v>
    <v t="i">686</v>
    <v t="i">687</v>
    <v t="i">690</v>
    <v t="i">691</v>
    <v t="i">692</v>
    <v t="i">693</v>
    <v t="i">694</v>
    <v t="i">697</v>
    <v t="i">698</v>
    <v t="i">699</v>
    <v t="i">700</v>
    <v t="i">701</v>
    <v t="i">704</v>
    <v t="i">705</v>
    <v t="i">706</v>
    <v t="i">707</v>
    <v t="i">708</v>
    <v t="i">711</v>
    <v t="i">712</v>
    <v t="i">713</v>
    <v t="i">714</v>
    <v t="i">715</v>
    <v t="i">718</v>
    <v t="i">719</v>
    <v t="i">720</v>
    <v t="i">721</v>
    <v t="i">722</v>
    <v t="i">725</v>
    <v t="i">726</v>
    <v t="i">727</v>
    <v t="i">728</v>
    <v t="i">729</v>
  </a>
  <a r="1" c="522">
    <v>117.4</v>
    <v>119.43</v>
    <v>-99999901</v>
    <v>122.84</v>
    <v>116.29</v>
    <v>117.61</v>
    <v>119.72</v>
    <v>119.51</v>
    <v>120.57</v>
    <v>123.58</v>
    <v>123.07</v>
    <v>122.01</v>
    <v>122.27</v>
    <v>121.17</v>
    <v>118.51</v>
    <v>119.81</v>
    <v>113.12</v>
    <v>-99999901</v>
    <v>114.65</v>
    <v>111.74</v>
    <v>110.05</v>
    <v>113.12</v>
    <v>115.09</v>
    <v>117.98</v>
    <v>116.26</v>
    <v>114.81</v>
    <v>111.63</v>
    <v>-99999901</v>
    <v>102.77</v>
    <v>100.69</v>
    <v>104.65</v>
    <v>107.02</v>
    <v>107.1</v>
    <v>99.49</v>
    <v>99.57</v>
    <v>99.1</v>
    <v>101.16</v>
    <v>106.27</v>
    <v>107.35</v>
    <v>106.92</v>
    <v>103.86</v>
    <v>103.2</v>
    <v>105.15</v>
    <v>104.4</v>
    <v>106.62</v>
    <v>107.14</v>
    <v>110.01</v>
    <v>100.03</v>
    <v>100.54</v>
    <v>96.78</v>
    <v>94.12</v>
    <v>94.92</v>
    <v>96.65</v>
    <v>96.31</v>
    <v>97.4</v>
    <v>99.6</v>
    <v>98.15</v>
    <v>95.1</v>
    <v>92.34</v>
    <v>93.65</v>
    <v>96.59</v>
    <v>96.72</v>
    <v>96.48</v>
    <v>100.22</v>
    <v>101.22</v>
    <v>99.34</v>
    <v>100.99</v>
    <v>105.09</v>
    <v>99.31</v>
    <v>96.49</v>
    <v>92.36</v>
    <v>93.02</v>
    <v>-99999901</v>
    <v>92.83</v>
    <v>88</v>
    <v>89.15</v>
    <v>92.84</v>
    <v>94</v>
    <v>93.17</v>
    <v>94.1</v>
    <v>90.84</v>
    <v>91.35</v>
    <v>92</v>
    <v>90.62</v>
    <v>89.83</v>
    <v>90.46</v>
    <v>86.15</v>
    <v>84.06</v>
    <v>86.27</v>
    <v>89.32</v>
    <v>88.49</v>
    <v>87.96</v>
    <v>88.86</v>
    <v>91.8</v>
    <v>93.37</v>
    <v>94.42</v>
    <v>97.92</v>
    <v>96.19</v>
    <v>94.29</v>
    <v>92.45</v>
    <v>94.57</v>
    <v>91.63</v>
    <v>91.62</v>
    <v>90.03</v>
    <v>92.41</v>
    <v>92.38</v>
    <v>93.5</v>
    <v>93.26</v>
    <v>93.52</v>
    <v>95.69</v>
    <v>96.96</v>
    <v>95.77</v>
    <v>94.83</v>
    <v>94.65</v>
    <v>96.16</v>
    <v>94.67</v>
    <v>98.57</v>
    <v>97.92</v>
    <v>95.36</v>
    <v>92.65</v>
    <v>93.67</v>
    <v>95.99</v>
    <v>93.14</v>
    <v>93.86</v>
    <v>92.86</v>
    <v>89.78</v>
    <v>87.62</v>
    <v>87.45</v>
    <v>88.36</v>
    <v>85.41</v>
    <v>-99999901</v>
    <v>83.63</v>
    <v>83.19</v>
    <v>83.03</v>
    <v>85.43</v>
    <v>86.88</v>
    <v>85.57</v>
    <v>82.68</v>
    <v>79.349999999999994</v>
    <v>77.17</v>
    <v>76.150000000000006</v>
    <v>76.099999999999994</v>
    <v>77.989999999999995</v>
    <v>80.680000000000007</v>
    <v>82.7</v>
    <v>81.209999999999994</v>
    <v>79.040000000000006</v>
    <v>79.8</v>
    <v>79.989999999999995</v>
    <v>82.2</v>
    <v>80.98</v>
    <v>83.92</v>
    <v>-99999901</v>
    <v>84.33</v>
    <v>83.26</v>
    <v>82.26</v>
    <v>85.91</v>
    <v>-99999901</v>
    <v>82.1</v>
    <v>77.84</v>
    <v>78.69</v>
    <v>78.569999999999993</v>
    <v>79.650000000000006</v>
    <v>80.099999999999994</v>
    <v>82.67</v>
    <v>84.03</v>
    <v>85.28</v>
    <v>-99999901</v>
    <v>85.92</v>
    <v>84.98</v>
    <v>86.16</v>
    <v>87.63</v>
    <v>88.19</v>
    <v>86.13</v>
    <v>86.12</v>
    <v>87.47</v>
    <v>86.66</v>
    <v>84.9</v>
    <v>84.49</v>
    <v>82.84</v>
    <v>82.17</v>
    <v>79.94</v>
    <v>80.989999999999995</v>
    <v>83.69</v>
    <v>85.09</v>
    <v>84.5</v>
    <v>86.39</v>
    <v>86.61</v>
    <v>85.58</v>
    <v>85.38</v>
    <v>85.14</v>
    <v>83</v>
    <v>-99999901</v>
    <v>83.05</v>
    <v>80.599999999999994</v>
    <v>82.21</v>
    <v>83.16</v>
    <v>82.45</v>
    <v>83.89</v>
    <v>84.31</v>
    <v>84.75</v>
    <v>85.83</v>
    <v>86.18</v>
    <v>83.29</v>
    <v>82.66</v>
    <v>81.59</v>
    <v>82.78</v>
    <v>80.77</v>
    <v>77.45</v>
    <v>73.69</v>
    <v>74.7</v>
    <v>72.97</v>
    <v>73.790000000000006</v>
    <v>75.319999999999993</v>
    <v>76.69</v>
    <v>75.91</v>
    <v>74.989999999999995</v>
    <v>78.12</v>
    <v>78.650000000000006</v>
    <v>78.28</v>
    <v>79.27</v>
    <v>79.77</v>
    <v>84.93</v>
    <v>84.94</v>
    <v>84.99</v>
    <v>85.12</v>
    <v>-99999901</v>
    <v>84.18</v>
    <v>85.61</v>
    <v>87.33</v>
    <v>86.09</v>
    <v>86.31</v>
    <v>84.76</v>
    <v>84.77</v>
    <v>83.12</v>
    <v>81.099999999999994</v>
    <v>81.66</v>
    <v>82.73</v>
    <v>80.77</v>
    <v>77.69</v>
    <v>78.37</v>
    <v>79.540000000000006</v>
    <v>79.31</v>
    <v>75.319999999999993</v>
    <v>72.33</v>
    <v>72.5</v>
    <v>75.3</v>
    <v>77.010000000000005</v>
    <v>77.44</v>
    <v>76.41</v>
    <v>74.98</v>
    <v>74.17</v>
    <v>75.23</v>
    <v>74.91</v>
    <v>76.959999999999994</v>
    <v>75.86</v>
    <v>75.58</v>
    <v>75.989999999999995</v>
    <v>76.84</v>
    <v>78.36</v>
    <v>76.260000000000005</v>
    <v>76.95</v>
    <v>-99999901</v>
    <v>73.540000000000006</v>
    <v>72.66</v>
    <v>74.28</v>
    <v>76.13</v>
    <v>76.709999999999994</v>
    <v>76.290000000000006</v>
    <v>76.95</v>
    <v>75.959999999999994</v>
    <v>74.790000000000006</v>
    <v>71.84</v>
    <v>74.290000000000006</v>
    <v>73.2</v>
    <v>75.67</v>
    <v>76.61</v>
    <v>-99999901</v>
    <v>75.900000000000006</v>
    <v>77.12</v>
    <v>74.14</v>
    <v>73.849999999999994</v>
    <v>74.180000000000007</v>
    <v>72.260000000000005</v>
    <v>74.03</v>
    <v>74.34</v>
    <v>74.900000000000006</v>
    <v>74.650000000000006</v>
    <v>-99999901</v>
    <v>76.650000000000006</v>
    <v>76.52</v>
    <v>78.47</v>
    <v>77.69</v>
    <v>79.400000000000006</v>
    <v>80.11</v>
    <v>81.36</v>
    <v>79.87</v>
    <v>78.5</v>
    <v>79.63</v>
    <v>79.459999999999994</v>
    <v>79.64</v>
    <v>81.069999999999993</v>
    <v>82.74</v>
    <v>83.64</v>
    <v>82.92</v>
    <v>84.24</v>
    <v>84.99</v>
    <v>85.56</v>
    <v>84.91</v>
    <v>83.2</v>
    <v>85.14</v>
    <v>86.24</v>
    <v>85.34</v>
    <v>86.17</v>
    <v>87.55</v>
    <v>86.4</v>
    <v>86.81</v>
    <v>86.21</v>
    <v>84.89</v>
    <v>83.45</v>
    <v>84.12</v>
    <v>84.8</v>
    <v>84.46</v>
    <v>84.03</v>
    <v>83.21</v>
    <v>83.36</v>
    <v>84.48</v>
    <v>84.42</v>
    <v>85.49</v>
    <v>85.86</v>
    <v>86.86</v>
    <v>88.55</v>
    <v>-99999901</v>
    <v>90.04</v>
    <v>90.6</v>
    <v>89.92</v>
    <v>90.65</v>
    <v>90.64</v>
    <v>92.06</v>
    <v>91.88</v>
    <v>93.7</v>
    <v>93.93</v>
    <v>94.43</v>
    <v>94.34</v>
    <v>93.53</v>
    <v>93.3</v>
    <v>93.27</v>
    <v>93.29</v>
    <v>93.96</v>
    <v>96.55</v>
    <v>95.38</v>
    <v>95.31</v>
    <v>90.71</v>
    <v>90.92</v>
    <v>85.81</v>
    <v>84.07</v>
    <v>84.58</v>
    <v>88.15</v>
    <v>87.65</v>
    <v>85.82</v>
    <v>86</v>
    <v>90.89</v>
    <v>89.65</v>
    <v>89.9</v>
    <v>91.5</v>
    <v>92.38</v>
    <v>92.16</v>
    <v>89.83</v>
    <v>88.07</v>
    <v>90.13</v>
    <v>87.93</v>
    <v>90.48</v>
    <v>87.45</v>
    <v>87.41</v>
    <v>84.63</v>
    <v>86.85</v>
    <v>84.89</v>
    <v>85.18</v>
    <v>81.61</v>
    <v>79.540000000000006</v>
    <v>80.010000000000005</v>
    <v>81.430000000000007</v>
    <v>82.52</v>
    <v>82.47</v>
    <v>81.180000000000007</v>
    <v>77.42</v>
    <v>80.61</v>
    <v>82.32</v>
    <v>82.45</v>
    <v>81.96</v>
    <v>-99999901</v>
    <v>80.58</v>
    <v>79.98</v>
    <v>81.680000000000007</v>
    <v>83.1</v>
    <v>82.83</v>
    <v>78.88</v>
    <v>78.03</v>
    <v>77.2</v>
    <v>74.3</v>
    <v>74.05</v>
    <v>75.84</v>
    <v>76.03</v>
    <v>73.239999999999995</v>
    <v>74.260000000000005</v>
    <v>76.61</v>
    <v>76.55</v>
    <v>77.95</v>
    <v>79.23</v>
    <v>79.7</v>
    <v>79.39</v>
    <v>79.069999999999993</v>
    <v>-99999901</v>
    <v>81.069999999999993</v>
    <v>79.650000000000006</v>
    <v>78.39</v>
    <v>77.040000000000006</v>
    <v>-99999901</v>
    <v>75.89</v>
    <v>78.25</v>
    <v>77.59</v>
    <v>78.760000000000005</v>
    <v>76.12</v>
    <v>77.59</v>
    <v>76.8</v>
    <v>77.41</v>
    <v>78.290000000000006</v>
    <v>-99999901</v>
    <v>78.290000000000006</v>
    <v>77.88</v>
    <v>79.099999999999994</v>
    <v>78.56</v>
    <v>80.06</v>
    <v>79.55</v>
    <v>80.040000000000006</v>
    <v>82.43</v>
    <v>83.55</v>
    <v>82.4</v>
    <v>82.87</v>
    <v>81.709999999999994</v>
    <v>78.7</v>
    <v>77.33</v>
    <v>77.989999999999995</v>
    <v>78.59</v>
    <v>79.209999999999994</v>
    <v>81.63</v>
    <v>82.19</v>
    <v>82</v>
    <v>82.77</v>
    <v>81.599999999999994</v>
    <v>82.86</v>
    <v>83.47</v>
    <v>-99999901</v>
    <v>82.34</v>
    <v>83.03</v>
    <v>83.67</v>
    <v>81.62</v>
    <v>82.53</v>
    <v>83.65</v>
    <v>83.68</v>
    <v>83.62</v>
    <v>83.55</v>
    <v>82.8</v>
    <v>82.04</v>
    <v>82.96</v>
    <v>82.96</v>
    <v>82.08</v>
    <v>82.21</v>
    <v>81.92</v>
    <v>84.03</v>
    <v>85.42</v>
    <v>85.34</v>
    <v>86.89</v>
    <v>87.38</v>
    <v>85.95</v>
    <v>85.78</v>
    <v>85.43</v>
    <v>86.75</v>
    <v>86.25</v>
    <v>86.09</v>
    <v>87.48</v>
    <v>-99999901</v>
    <v>87.42</v>
    <v>88.92</v>
    <v>89.35</v>
    <v>90.65</v>
    <v>91.17</v>
    <v>90.38</v>
    <v>89.42</v>
    <v>90.48</v>
    <v>89.74</v>
    <v>90.45</v>
    <v>90.1</v>
    <v>90.02</v>
    <v>87.29</v>
    <v>87.11</v>
    <v>87.29</v>
    <v>87</v>
    <v>88.42</v>
    <v>88.02</v>
    <v>89.01</v>
    <v>89.5</v>
    <v>88.4</v>
    <v>87.86</v>
    <v>83.44</v>
    <v>83.67</v>
    <v>82.96</v>
    <v>83.33</v>
    <v>83.16</v>
    <v>83.58</v>
    <v>83.88</v>
    <v>82.79</v>
    <v>83.36</v>
    <v>82.38</v>
    <v>82.75</v>
    <v>83.27</v>
    <v>83.98</v>
    <v>83.71</v>
    <v>82.88</v>
    <v>81.900000000000006</v>
    <v>81.36</v>
    <v>82.12</v>
  </a>
  <a r="1" c="522">
    <v>114.45</v>
    <v>117.54</v>
    <v>-99999901</v>
    <v>119.47</v>
    <v>116.63</v>
    <v>115.82</v>
    <v>118.26</v>
    <v>121.35</v>
    <v>120.08</v>
    <v>121.03</v>
    <v>123.89</v>
    <v>122.94</v>
    <v>121.69</v>
    <v>122.5</v>
    <v>121</v>
    <v>119.12</v>
    <v>119.34</v>
    <v>-99999901</v>
    <v>113.8</v>
    <v>114.57</v>
    <v>110.22</v>
    <v>109.81</v>
    <v>112.46</v>
    <v>115.84</v>
    <v>117.96</v>
    <v>116.04</v>
    <v>109.46</v>
    <v>-99999901</v>
    <v>111.61</v>
    <v>104</v>
    <v>99.96</v>
    <v>104.49</v>
    <v>106.76</v>
    <v>106.23</v>
    <v>99.31</v>
    <v>99.85</v>
    <v>99.6</v>
    <v>100.92</v>
    <v>105.59</v>
    <v>107.15</v>
    <v>106.79</v>
    <v>104.25</v>
    <v>103.44</v>
    <v>104.81</v>
    <v>104.78</v>
    <v>107.49</v>
    <v>108.05</v>
    <v>103.87</v>
    <v>100</v>
    <v>99.64</v>
    <v>97.01</v>
    <v>93.59</v>
    <v>94.27</v>
    <v>96.54</v>
    <v>96.46</v>
    <v>97.27</v>
    <v>99.29</v>
    <v>97.76</v>
    <v>93.64</v>
    <v>92.77</v>
    <v>93.18</v>
    <v>96.63</v>
    <v>95.66</v>
    <v>96.58</v>
    <v>100.16</v>
    <v>101.6</v>
    <v>99.88</v>
    <v>100.83</v>
    <v>105</v>
    <v>99.71</v>
    <v>94.78</v>
    <v>92</v>
    <v>-99999901</v>
    <v>93.09</v>
    <v>92.8</v>
    <v>87.64</v>
    <v>88.46</v>
    <v>92.3</v>
    <v>94.21</v>
    <v>93.49</v>
    <v>94.43</v>
    <v>90.65</v>
    <v>91.65</v>
    <v>91.97</v>
    <v>90.69</v>
    <v>89.92</v>
    <v>90.35</v>
    <v>86.72</v>
    <v>83.91</v>
    <v>85.83</v>
    <v>88.95</v>
    <v>88.56</v>
    <v>86.51</v>
    <v>88.89</v>
    <v>91.65</v>
    <v>93.83</v>
    <v>94.99</v>
    <v>98.7</v>
    <v>96.15</v>
    <v>93.69</v>
    <v>92.47</v>
    <v>94.75</v>
    <v>91.71</v>
    <v>92.02</v>
    <v>90.79</v>
    <v>92.51</v>
    <v>92.79</v>
    <v>93.61</v>
    <v>93.56</v>
    <v>93.25</v>
    <v>96.16</v>
    <v>96.78</v>
    <v>96</v>
    <v>92.8</v>
    <v>94.67</v>
    <v>95.66</v>
    <v>94.48</v>
    <v>97.78</v>
    <v>98</v>
    <v>95.01</v>
    <v>92.54</v>
    <v>93.27</v>
    <v>95.97</v>
    <v>92.53</v>
    <v>93.76</v>
    <v>92.8</v>
    <v>89.98</v>
    <v>87.8</v>
    <v>87.65</v>
    <v>88.41</v>
    <v>-99999901</v>
    <v>84.94</v>
    <v>83.8</v>
    <v>82.33</v>
    <v>83.58</v>
    <v>86.6</v>
    <v>87.13</v>
    <v>85.52</v>
    <v>83.09</v>
    <v>79.790000000000006</v>
    <v>77.489999999999995</v>
    <v>76.73</v>
    <v>76.67</v>
    <v>78.19</v>
    <v>80.34</v>
    <v>82.84</v>
    <v>81.34</v>
    <v>79.09</v>
    <v>80.28</v>
    <v>79.95</v>
    <v>82.37</v>
    <v>81.73</v>
    <v>-99999901</v>
    <v>84.46</v>
    <v>84.6</v>
    <v>82.86</v>
    <v>83.66</v>
    <v>-99999901</v>
    <v>86.04</v>
    <v>82.23</v>
    <v>78.09</v>
    <v>78.81</v>
    <v>78.48</v>
    <v>79.709999999999994</v>
    <v>79.59</v>
    <v>82.86</v>
    <v>83.95</v>
    <v>-99999901</v>
    <v>85.44</v>
    <v>86.72</v>
    <v>84.59</v>
    <v>86.36</v>
    <v>87.81</v>
    <v>88.03</v>
    <v>86.3</v>
    <v>86.13</v>
    <v>87.6</v>
    <v>86.8</v>
    <v>85.16</v>
    <v>85.52</v>
    <v>83.09</v>
    <v>82.15</v>
    <v>79.75</v>
    <v>81.400000000000006</v>
    <v>84.03</v>
    <v>85.07</v>
    <v>84.23</v>
    <v>86.6</v>
    <v>85.75</v>
    <v>85.29</v>
    <v>85.14</v>
    <v>84.67</v>
    <v>-99999901</v>
    <v>83.01</v>
    <v>82.74</v>
    <v>80.47</v>
    <v>82.35</v>
    <v>83.12</v>
    <v>82.64</v>
    <v>83.1</v>
    <v>84.31</v>
    <v>84.41</v>
    <v>85.93</v>
    <v>86.23</v>
    <v>82.98</v>
    <v>82.62</v>
    <v>81.47</v>
    <v>82.54</v>
    <v>80.69</v>
    <v>77.569999999999993</v>
    <v>74.349999999999994</v>
    <v>74.55</v>
    <v>72.89</v>
    <v>73.739999999999995</v>
    <v>75.09</v>
    <v>75.739999999999995</v>
    <v>75.42</v>
    <v>75.239999999999995</v>
    <v>78.180000000000007</v>
    <v>79.02</v>
    <v>78.22</v>
    <v>79.28</v>
    <v>83.29</v>
    <v>84.78</v>
    <v>85.1</v>
    <v>84.83</v>
    <v>-99999901</v>
    <v>84.95</v>
    <v>84.28</v>
    <v>85.55</v>
    <v>87.15</v>
    <v>86.34</v>
    <v>86.27</v>
    <v>84.82</v>
    <v>84.86</v>
    <v>83</v>
    <v>80.83</v>
    <v>81.599999999999994</v>
    <v>82.58</v>
    <v>81</v>
    <v>77.87</v>
    <v>78.31</v>
    <v>80.180000000000007</v>
    <v>79.260000000000005</v>
    <v>75.27</v>
    <v>71.89</v>
    <v>72.650000000000006</v>
    <v>75.41</v>
    <v>76.849999999999994</v>
    <v>77.25</v>
    <v>76.64</v>
    <v>75.459999999999994</v>
    <v>74.25</v>
    <v>75.45</v>
    <v>74.680000000000007</v>
    <v>76.790000000000006</v>
    <v>75.900000000000006</v>
    <v>75.739999999999995</v>
    <v>75.97</v>
    <v>77.59</v>
    <v>78.260000000000005</v>
    <v>76.12</v>
    <v>-99999901</v>
    <v>77.37</v>
    <v>73.650000000000006</v>
    <v>72.09</v>
    <v>74.41</v>
    <v>77.5</v>
    <v>76.47</v>
    <v>76.069999999999993</v>
    <v>76.8</v>
    <v>75.53</v>
    <v>74.88</v>
    <v>72</v>
    <v>74.069999999999993</v>
    <v>73.47</v>
    <v>75.58</v>
    <v>-99999901</v>
    <v>76.23</v>
    <v>75.5</v>
    <v>76.959999999999994</v>
    <v>74.150000000000006</v>
    <v>74.45</v>
    <v>74.23</v>
    <v>72.56</v>
    <v>73.75</v>
    <v>74.25</v>
    <v>75.13</v>
    <v>-99999901</v>
    <v>74.94</v>
    <v>76.540000000000006</v>
    <v>76.48</v>
    <v>78.489999999999995</v>
    <v>77.86</v>
    <v>79.28</v>
    <v>80.150000000000006</v>
    <v>81.61</v>
    <v>79.45</v>
    <v>78.53</v>
    <v>79.8</v>
    <v>79.5</v>
    <v>79.66</v>
    <v>80.989999999999995</v>
    <v>82.83</v>
    <v>83.27</v>
    <v>83.03</v>
    <v>84.05</v>
    <v>84.88</v>
    <v>85.35</v>
    <v>85.73</v>
    <v>83.44</v>
    <v>85.32</v>
    <v>86.14</v>
    <v>85.84</v>
    <v>86.01</v>
    <v>87.37</v>
    <v>86.39</v>
    <v>86.64</v>
    <v>86.3</v>
    <v>85.12</v>
    <v>83.35</v>
    <v>83.83</v>
    <v>85.06</v>
    <v>84.39</v>
    <v>83.98</v>
    <v>82.99</v>
    <v>83.2</v>
    <v>84.87</v>
    <v>84.38</v>
    <v>85.63</v>
    <v>85.85</v>
    <v>86.82</v>
    <v>-99999901</v>
    <v>88.7</v>
    <v>89.98</v>
    <v>90.61</v>
    <v>89.8</v>
    <v>90.66</v>
    <v>90.56</v>
    <v>91.93</v>
    <v>92.2</v>
    <v>94.13</v>
    <v>94.2</v>
    <v>94.63</v>
    <v>94.48</v>
    <v>93.22</v>
    <v>93.32</v>
    <v>93.75</v>
    <v>93.26</v>
    <v>94.16</v>
    <v>96.62</v>
    <v>95.1</v>
    <v>92.19</v>
    <v>90.44</v>
    <v>90.96</v>
    <v>86.03</v>
    <v>84.22</v>
    <v>86.35</v>
    <v>88.11</v>
    <v>87.75</v>
    <v>85.6</v>
    <v>86.41</v>
    <v>90.92</v>
    <v>90.06</v>
    <v>90.9</v>
    <v>91.34</v>
    <v>92.85</v>
    <v>92.13</v>
    <v>90.35</v>
    <v>88.14</v>
    <v>90.04</v>
    <v>88.26</v>
    <v>90.3</v>
    <v>87.81</v>
    <v>85.45</v>
    <v>84.94</v>
    <v>86.86</v>
    <v>85.39</v>
    <v>85.23</v>
    <v>81.47</v>
    <v>79.78</v>
    <v>79.7</v>
    <v>81.45</v>
    <v>82.75</v>
    <v>82.38</v>
    <v>80.94</v>
    <v>77.53</v>
    <v>80.47</v>
    <v>82.13</v>
    <v>82.4</v>
    <v>-99999901</v>
    <v>81.63</v>
    <v>80.34</v>
    <v>80.14</v>
    <v>81.93</v>
    <v>82.87</v>
    <v>80.47</v>
    <v>79.430000000000007</v>
    <v>78.2</v>
    <v>77.06</v>
    <v>74.3</v>
    <v>74.5</v>
    <v>75.66</v>
    <v>76.25</v>
    <v>73.36</v>
    <v>74.709999999999994</v>
    <v>76.599999999999994</v>
    <v>76.97</v>
    <v>78.05</v>
    <v>79.25</v>
    <v>79.14</v>
    <v>79.44</v>
    <v>-99999901</v>
    <v>79.19</v>
    <v>80.739999999999995</v>
    <v>79.84</v>
    <v>77.42</v>
    <v>-99999901</v>
    <v>77.209999999999994</v>
    <v>75.989999999999995</v>
    <v>78.5</v>
    <v>77.599999999999994</v>
    <v>78.599999999999994</v>
    <v>76.36</v>
    <v>77.459999999999994</v>
    <v>76.739999999999995</v>
    <v>78.459999999999994</v>
    <v>-99999901</v>
    <v>78.08</v>
    <v>77.86</v>
    <v>78.05</v>
    <v>78.98</v>
    <v>78.849999999999994</v>
    <v>79.91</v>
    <v>79.739999999999995</v>
    <v>80.31</v>
    <v>82.39</v>
    <v>84.13</v>
    <v>82.57</v>
    <v>82.59</v>
    <v>80.67</v>
    <v>78.92</v>
    <v>77.66</v>
    <v>77.94</v>
    <v>78.7</v>
    <v>79.38</v>
    <v>81.73</v>
    <v>81.760000000000005</v>
    <v>82.05</v>
    <v>82.66</v>
    <v>81.52</v>
    <v>82.83</v>
    <v>-99999901</v>
    <v>83.3</v>
    <v>82.56</v>
    <v>83.16</v>
    <v>83.42</v>
    <v>81.59</v>
    <v>82.55</v>
    <v>83.4</v>
    <v>83.65</v>
    <v>81.97</v>
    <v>83.59</v>
    <v>82.97</v>
    <v>82.08</v>
    <v>82.84</v>
    <v>83.34</v>
    <v>81.91</v>
    <v>82.43</v>
    <v>82.39</v>
    <v>83.98</v>
    <v>85.13</v>
    <v>85.38</v>
    <v>86.85</v>
    <v>87.22</v>
    <v>86.16</v>
    <v>85.55</v>
    <v>85.6</v>
    <v>86.77</v>
    <v>85.97</v>
    <v>86.53</v>
    <v>-99999901</v>
    <v>86.93</v>
    <v>87.8</v>
    <v>89.21</v>
    <v>89.5</v>
    <v>91.01</v>
    <v>90.31</v>
    <v>90.55</v>
    <v>89.51</v>
    <v>90.54</v>
    <v>90.29</v>
    <v>90.37</v>
    <v>90.43</v>
    <v>90.05</v>
    <v>87.44</v>
    <v>86.96</v>
    <v>87.04</v>
    <v>87.23</v>
    <v>88.46</v>
    <v>88.11</v>
    <v>89.21</v>
    <v>89.25</v>
    <v>88.32</v>
    <v>85.96</v>
    <v>83.56</v>
    <v>83.8</v>
    <v>82.98</v>
    <v>83.59</v>
    <v>83.04</v>
    <v>83.78</v>
    <v>84.21</v>
    <v>82.7</v>
    <v>83.5</v>
    <v>82.77</v>
    <v>82.93</v>
    <v>83.44</v>
    <v>84</v>
    <v>83.7</v>
    <v>82.48</v>
    <v>81.69</v>
    <v>81.540000000000006</v>
  </a>
  <a r="1" c="522">
    <v>118</v>
    <v>119.73</v>
    <v>-99999901</v>
    <v>124.13</v>
    <v>118.58</v>
    <v>118.44</v>
    <v>121.44</v>
    <v>121.89</v>
    <v>121.38</v>
    <v>124.41</v>
    <v>124.33</v>
    <v>124.33</v>
    <v>123.61</v>
    <v>125.18</v>
    <v>121.85</v>
    <v>120.28</v>
    <v>121.25</v>
    <v>-99999901</v>
    <v>116.25</v>
    <v>114.57</v>
    <v>112.69</v>
    <v>113.99</v>
    <v>116.04</v>
    <v>118.24</v>
    <v>120.38</v>
    <v>116.33</v>
    <v>112.42</v>
    <v>-99999901</v>
    <v>114.69</v>
    <v>105.8</v>
    <v>106.35</v>
    <v>107.45</v>
    <v>107.66</v>
    <v>106.51</v>
    <v>101.2</v>
    <v>100.37</v>
    <v>102.62</v>
    <v>106.47</v>
    <v>107.6</v>
    <v>107.43</v>
    <v>106.8</v>
    <v>105.68</v>
    <v>105.35</v>
    <v>107.35</v>
    <v>107.8</v>
    <v>108.98</v>
    <v>110.43</v>
    <v>104.37</v>
    <v>102.41</v>
    <v>102.37</v>
    <v>97.63</v>
    <v>96.4</v>
    <v>96.73</v>
    <v>98.39</v>
    <v>97.98</v>
    <v>100.16</v>
    <v>100.35</v>
    <v>98.04</v>
    <v>95.95</v>
    <v>94.46</v>
    <v>97.41</v>
    <v>97.87</v>
    <v>97.25</v>
    <v>100.45</v>
    <v>102</v>
    <v>102.47</v>
    <v>101.17</v>
    <v>105.48</v>
    <v>105.37</v>
    <v>100.3</v>
    <v>95.66</v>
    <v>95.32</v>
    <v>-99999901</v>
    <v>96.99</v>
    <v>93.79</v>
    <v>89.83</v>
    <v>93.1</v>
    <v>95.17</v>
    <v>95.51</v>
    <v>95.81</v>
    <v>94.65</v>
    <v>92.64</v>
    <v>92.58</v>
    <v>93.02</v>
    <v>93.51</v>
    <v>92.8</v>
    <v>90.71</v>
    <v>87.66</v>
    <v>87.13</v>
    <v>89.49</v>
    <v>90.1</v>
    <v>89.52</v>
    <v>89.83</v>
    <v>92.39</v>
    <v>93.97</v>
    <v>95.01</v>
    <v>98.59</v>
    <v>98.76</v>
    <v>96.45</v>
    <v>95.17</v>
    <v>94.9</v>
    <v>95.11</v>
    <v>93.23</v>
    <v>92.65</v>
    <v>92.84</v>
    <v>94.77</v>
    <v>93.8</v>
    <v>94.44</v>
    <v>94.37</v>
    <v>96.19</v>
    <v>97.28</v>
    <v>96.89</v>
    <v>96</v>
    <v>95.55</v>
    <v>96.47</v>
    <v>95.94</v>
    <v>98.82</v>
    <v>99.56</v>
    <v>98.27</v>
    <v>95.69</v>
    <v>94.31</v>
    <v>96.92</v>
    <v>96.92</v>
    <v>95.75</v>
    <v>94.78</v>
    <v>92.88</v>
    <v>90.61</v>
    <v>88.04</v>
    <v>89.88</v>
    <v>89.54</v>
    <v>-99999901</v>
    <v>86.9</v>
    <v>84.05</v>
    <v>86</v>
    <v>85.82</v>
    <v>89.41</v>
    <v>87.89</v>
    <v>88.43</v>
    <v>83.67</v>
    <v>80.48</v>
    <v>79.180000000000007</v>
    <v>77.47</v>
    <v>78.58</v>
    <v>81.28</v>
    <v>83.14</v>
    <v>83.19</v>
    <v>81.760000000000005</v>
    <v>80.89</v>
    <v>80.900000000000006</v>
    <v>82.54</v>
    <v>83.86</v>
    <v>84.37</v>
    <v>-99999901</v>
    <v>85.67</v>
    <v>84.64</v>
    <v>82.91</v>
    <v>86.28</v>
    <v>-99999901</v>
    <v>87.02</v>
    <v>82.67</v>
    <v>79.959999999999994</v>
    <v>80.569999999999993</v>
    <v>81.37</v>
    <v>80.88</v>
    <v>82.97</v>
    <v>84.61</v>
    <v>85.49</v>
    <v>-99999901</v>
    <v>86.82</v>
    <v>87.84</v>
    <v>86.85</v>
    <v>87.77</v>
    <v>89.1</v>
    <v>88.71</v>
    <v>87.01</v>
    <v>88.01</v>
    <v>88.91</v>
    <v>87.37</v>
    <v>85.16</v>
    <v>86.2</v>
    <v>83.6</v>
    <v>84.19</v>
    <v>81.400000000000006</v>
    <v>84.1</v>
    <v>85.16</v>
    <v>85.5</v>
    <v>86.91</v>
    <v>86.95</v>
    <v>86.4</v>
    <v>85.85</v>
    <v>86.2</v>
    <v>84.85</v>
    <v>-99999901</v>
    <v>84.29</v>
    <v>83.23</v>
    <v>82.75</v>
    <v>83.38</v>
    <v>83.63</v>
    <v>84.12</v>
    <v>84.49</v>
    <v>85.09</v>
    <v>86</v>
    <v>86.36</v>
    <v>86.76</v>
    <v>83.59</v>
    <v>84.01</v>
    <v>83.08</v>
    <v>83.47</v>
    <v>80.88</v>
    <v>78.709999999999994</v>
    <v>75.52</v>
    <v>75.900000000000006</v>
    <v>73.849999999999994</v>
    <v>75.400000000000006</v>
    <v>77.09</v>
    <v>77.430000000000007</v>
    <v>76.28</v>
    <v>78.430000000000007</v>
    <v>79.209999999999994</v>
    <v>79.7</v>
    <v>79.55</v>
    <v>79.77</v>
    <v>86.24</v>
    <v>86.05</v>
    <v>85.55</v>
    <v>85.44</v>
    <v>-99999901</v>
    <v>85.64</v>
    <v>85.68</v>
    <v>87.49</v>
    <v>87.47</v>
    <v>86.86</v>
    <v>86.51</v>
    <v>85.4</v>
    <v>85.15</v>
    <v>83.04</v>
    <v>82.04</v>
    <v>82.99</v>
    <v>83.05</v>
    <v>81.47</v>
    <v>78.63</v>
    <v>79.599999999999994</v>
    <v>80.19</v>
    <v>79.78</v>
    <v>75.55</v>
    <v>73.73</v>
    <v>75.73</v>
    <v>77.42</v>
    <v>77.489999999999995</v>
    <v>77.599999999999994</v>
    <v>77.400000000000006</v>
    <v>75.84</v>
    <v>75.75</v>
    <v>75.95</v>
    <v>77.31</v>
    <v>76.98</v>
    <v>77.5</v>
    <v>76.459999999999994</v>
    <v>77.739999999999995</v>
    <v>78.66</v>
    <v>78.5</v>
    <v>77.349999999999994</v>
    <v>-99999901</v>
    <v>77.739999999999995</v>
    <v>73.77</v>
    <v>75.25</v>
    <v>76.489999999999995</v>
    <v>78.72</v>
    <v>76.760000000000005</v>
    <v>77.62</v>
    <v>77.66</v>
    <v>76.55</v>
    <v>74.88</v>
    <v>74.650000000000006</v>
    <v>75.48</v>
    <v>75.959999999999994</v>
    <v>76.739999999999995</v>
    <v>-99999901</v>
    <v>77.150000000000006</v>
    <v>77.239999999999995</v>
    <v>77.19</v>
    <v>74.37</v>
    <v>74.83</v>
    <v>74.89</v>
    <v>74.209999999999994</v>
    <v>74.97</v>
    <v>75.13</v>
    <v>76.58</v>
    <v>-99999901</v>
    <v>76.94</v>
    <v>77.08</v>
    <v>78.53</v>
    <v>78.78</v>
    <v>79.5</v>
    <v>80.569999999999993</v>
    <v>81.75</v>
    <v>81.69</v>
    <v>80.62</v>
    <v>80.010000000000005</v>
    <v>80.95</v>
    <v>80.27</v>
    <v>81.239999999999995</v>
    <v>83.16</v>
    <v>83.88</v>
    <v>83.86</v>
    <v>84.51</v>
    <v>85.1</v>
    <v>85.66</v>
    <v>85.79</v>
    <v>85.98</v>
    <v>85.42</v>
    <v>86.65</v>
    <v>86.71</v>
    <v>86.35</v>
    <v>87.66</v>
    <v>88.1</v>
    <v>87.35</v>
    <v>86.7</v>
    <v>86.67</v>
    <v>85.36</v>
    <v>84.89</v>
    <v>85.07</v>
    <v>85.87</v>
    <v>84.65</v>
    <v>84.24</v>
    <v>83.61</v>
    <v>84.97</v>
    <v>85.22</v>
    <v>85.65</v>
    <v>86.21</v>
    <v>86.9</v>
    <v>88.96</v>
    <v>-99999901</v>
    <v>91.18</v>
    <v>91.11</v>
    <v>90.86</v>
    <v>91.02</v>
    <v>91.45</v>
    <v>92.42</v>
    <v>92.83</v>
    <v>94.21</v>
    <v>94.61</v>
    <v>94.95</v>
    <v>95.95</v>
    <v>94.73</v>
    <v>94.6</v>
    <v>94.63</v>
    <v>94.25</v>
    <v>94.21</v>
    <v>97.04</v>
    <v>97.63</v>
    <v>96.24</v>
    <v>93.32</v>
    <v>91.56</v>
    <v>91.19</v>
    <v>86.51</v>
    <v>84.96</v>
    <v>89</v>
    <v>88.47</v>
    <v>88.25</v>
    <v>87.64</v>
    <v>90.99</v>
    <v>91.39</v>
    <v>90.92</v>
    <v>92.97</v>
    <v>93.47</v>
    <v>93.79</v>
    <v>92.43</v>
    <v>90.67</v>
    <v>90.34</v>
    <v>90.36</v>
    <v>90.74</v>
    <v>90.3</v>
    <v>88.53</v>
    <v>87.22</v>
    <v>87.03</v>
    <v>87.78</v>
    <v>86.45</v>
    <v>85.32</v>
    <v>81.93</v>
    <v>81.48</v>
    <v>82.05</v>
    <v>82.82</v>
    <v>83.97</v>
    <v>83.01</v>
    <v>81.16</v>
    <v>80.8</v>
    <v>82.93</v>
    <v>82.53</v>
    <v>82.63</v>
    <v>-99999901</v>
    <v>82.2</v>
    <v>81.180000000000007</v>
    <v>82.18</v>
    <v>83.24</v>
    <v>84.71</v>
    <v>81.52</v>
    <v>79.66</v>
    <v>79.069999999999993</v>
    <v>77.63</v>
    <v>75.48</v>
    <v>76.36</v>
    <v>76.48</v>
    <v>76.64</v>
    <v>74.7</v>
    <v>77.349999999999994</v>
    <v>77.22</v>
    <v>79.510000000000005</v>
    <v>79.66</v>
    <v>80.61</v>
    <v>80.12</v>
    <v>80.37</v>
    <v>-99999901</v>
    <v>81.709999999999994</v>
    <v>81.319999999999993</v>
    <v>79.959999999999994</v>
    <v>77.97</v>
    <v>-99999901</v>
    <v>79.040000000000006</v>
    <v>78.67</v>
    <v>79.400000000000006</v>
    <v>79.25</v>
    <v>78.95</v>
    <v>78.180000000000007</v>
    <v>78.73</v>
    <v>79.09</v>
    <v>80.739999999999995</v>
    <v>-99999901</v>
    <v>79.39</v>
    <v>78.180000000000007</v>
    <v>79.3</v>
    <v>79.75</v>
    <v>80.55</v>
    <v>80.44</v>
    <v>80.739999999999995</v>
    <v>82.56</v>
    <v>83.83</v>
    <v>84.79</v>
    <v>83.25</v>
    <v>82.8</v>
    <v>81.55</v>
    <v>79.44</v>
    <v>78.33</v>
    <v>79.069999999999993</v>
    <v>79.47</v>
    <v>81.89</v>
    <v>82.46</v>
    <v>82.21</v>
    <v>83.23</v>
    <v>83.61</v>
    <v>83.25</v>
    <v>83.66</v>
    <v>-99999901</v>
    <v>83.63</v>
    <v>83.17</v>
    <v>83.97</v>
    <v>83.48</v>
    <v>83.06</v>
    <v>83.74</v>
    <v>84.3</v>
    <v>83.74</v>
    <v>84.35</v>
    <v>84.07</v>
    <v>83.14</v>
    <v>84.06</v>
    <v>83.47</v>
    <v>83.84</v>
    <v>82.73</v>
    <v>83.01</v>
    <v>84.22</v>
    <v>85.68</v>
    <v>85.55</v>
    <v>87.18</v>
    <v>87.71</v>
    <v>87.35</v>
    <v>86.64</v>
    <v>86.15</v>
    <v>87.18</v>
    <v>87.05</v>
    <v>86.36</v>
    <v>87.45</v>
    <v>-99999901</v>
    <v>87.99</v>
    <v>89.28</v>
    <v>89.98</v>
    <v>91.3</v>
    <v>91.91</v>
    <v>91.1</v>
    <v>90.94</v>
    <v>90.66</v>
    <v>90.92</v>
    <v>92.18</v>
    <v>91.15</v>
    <v>90.83</v>
    <v>90.15</v>
    <v>87.79</v>
    <v>90.78</v>
    <v>87.25</v>
    <v>88.49</v>
    <v>88.8</v>
    <v>89.26</v>
    <v>89.83</v>
    <v>89.3</v>
    <v>88.71</v>
    <v>85.96</v>
    <v>84.42</v>
    <v>84.4</v>
    <v>83.82</v>
    <v>83.87</v>
    <v>83.82</v>
    <v>84.33</v>
    <v>84.52</v>
    <v>83.83</v>
    <v>83.62</v>
    <v>83.07</v>
    <v>83.78</v>
    <v>84.04</v>
    <v>84.5</v>
    <v>83.74</v>
    <v>82.64</v>
    <v>82.97</v>
    <v>82.45</v>
  </a>
  <a r="1" c="522">
    <v>113.84</v>
    <v>116.68</v>
    <v>-99999901</v>
    <v>119.36</v>
    <v>115.43</v>
    <v>112.48</v>
    <v>116.08</v>
    <v>118.76</v>
    <v>118.56</v>
    <v>120.46</v>
    <v>122.5</v>
    <v>119.87</v>
    <v>118.95</v>
    <v>118.94</v>
    <v>117.75</v>
    <v>115.58</v>
    <v>111.72</v>
    <v>-99999901</v>
    <v>111.57</v>
    <v>107.03</v>
    <v>108.11</v>
    <v>109.27</v>
    <v>111.25</v>
    <v>115.4</v>
    <v>115.41</v>
    <v>115</v>
    <v>108.01</v>
    <v>-99999901</v>
    <v>101.11</v>
    <v>98.51</v>
    <v>98.47</v>
    <v>103.75</v>
    <v>103.66</v>
    <v>98.91</v>
    <v>97.3</v>
    <v>94.5</v>
    <v>98.21</v>
    <v>99.48</v>
    <v>103.59</v>
    <v>105.09</v>
    <v>101.52</v>
    <v>101.91</v>
    <v>101.67</v>
    <v>103.98</v>
    <v>103.72</v>
    <v>105.96</v>
    <v>108.03</v>
    <v>99.1</v>
    <v>98.47</v>
    <v>96.48</v>
    <v>93.15</v>
    <v>92.75</v>
    <v>92.99</v>
    <v>94.91</v>
    <v>93.61</v>
    <v>96.65</v>
    <v>96.94</v>
    <v>92.72</v>
    <v>91.72</v>
    <v>91.52</v>
    <v>93.05</v>
    <v>94.25</v>
    <v>92.36</v>
    <v>96.51</v>
    <v>99.07</v>
    <v>99.12</v>
    <v>98.14</v>
    <v>100.29</v>
    <v>97.67</v>
    <v>95.76</v>
    <v>91.81</v>
    <v>92</v>
    <v>-99999901</v>
    <v>92.28</v>
    <v>87.4</v>
    <v>87.23</v>
    <v>88.32</v>
    <v>91.21</v>
    <v>91.07</v>
    <v>91.95</v>
    <v>90.05</v>
    <v>90.22</v>
    <v>88.48</v>
    <v>89.8</v>
    <v>89.3</v>
    <v>89.29</v>
    <v>85.46</v>
    <v>83.63</v>
    <v>83.91</v>
    <v>84.27</v>
    <v>87.45</v>
    <v>87.85</v>
    <v>86.51</v>
    <v>88.69</v>
    <v>90.9</v>
    <v>92.73</v>
    <v>93.93</v>
    <v>95.62</v>
    <v>93.11</v>
    <v>91.58</v>
    <v>91.09</v>
    <v>91.27</v>
    <v>90.84</v>
    <v>88.77</v>
    <v>89.38</v>
    <v>91.92</v>
    <v>91.02</v>
    <v>91.21</v>
    <v>91.63</v>
    <v>92.04</v>
    <v>95.08</v>
    <v>95</v>
    <v>94.32</v>
    <v>92.36</v>
    <v>93.99</v>
    <v>94.16</v>
    <v>94.34</v>
    <v>96.7</v>
    <v>94.98</v>
    <v>92.3</v>
    <v>91.69</v>
    <v>93.27</v>
    <v>92.49</v>
    <v>91.53</v>
    <v>91.68</v>
    <v>89.54</v>
    <v>85.79</v>
    <v>82.32</v>
    <v>87.37</v>
    <v>84.12</v>
    <v>-99999901</v>
    <v>83.56</v>
    <v>80.64</v>
    <v>82.19</v>
    <v>83.51</v>
    <v>86.25</v>
    <v>85.19</v>
    <v>82.54</v>
    <v>78.709999999999994</v>
    <v>76.94</v>
    <v>75.760000000000005</v>
    <v>75.11</v>
    <v>75.260000000000005</v>
    <v>78.040000000000006</v>
    <v>80.13</v>
    <v>80.83</v>
    <v>78.28</v>
    <v>78.63</v>
    <v>78.3</v>
    <v>79.599999999999994</v>
    <v>80.680000000000007</v>
    <v>81.34</v>
    <v>-99999901</v>
    <v>83.66</v>
    <v>81.95</v>
    <v>81.3</v>
    <v>82.88</v>
    <v>-99999901</v>
    <v>81.77</v>
    <v>77.72</v>
    <v>77.61</v>
    <v>78.05</v>
    <v>78.34</v>
    <v>78.81</v>
    <v>79.3</v>
    <v>82.38</v>
    <v>83.49</v>
    <v>-99999901</v>
    <v>83.86</v>
    <v>84.4</v>
    <v>83.74</v>
    <v>85.58</v>
    <v>86.93</v>
    <v>85.81</v>
    <v>85.41</v>
    <v>85.78</v>
    <v>85.68</v>
    <v>84.75</v>
    <v>83.69</v>
    <v>82.37</v>
    <v>81.239999999999995</v>
    <v>79.62</v>
    <v>79.09</v>
    <v>81.180000000000007</v>
    <v>83.5</v>
    <v>83.06</v>
    <v>83.94</v>
    <v>85.09</v>
    <v>84.12</v>
    <v>83.9</v>
    <v>84.6</v>
    <v>81.790000000000006</v>
    <v>-99999901</v>
    <v>82.54</v>
    <v>80.400000000000006</v>
    <v>80.34</v>
    <v>81.069999999999993</v>
    <v>81.739999999999995</v>
    <v>82.61</v>
    <v>82.61</v>
    <v>83.84</v>
    <v>82.36</v>
    <v>84.35</v>
    <v>82.65</v>
    <v>82.05</v>
    <v>81.41</v>
    <v>80.73</v>
    <v>78.34</v>
    <v>76.88</v>
    <v>71.63</v>
    <v>71.86</v>
    <v>71.349999999999994</v>
    <v>70.13</v>
    <v>72.81</v>
    <v>74.52</v>
    <v>75.12</v>
    <v>72.69</v>
    <v>74.8</v>
    <v>77.55</v>
    <v>77.95</v>
    <v>77.849999999999994</v>
    <v>79.069999999999993</v>
    <v>83.29</v>
    <v>83.87</v>
    <v>84.01</v>
    <v>84.05</v>
    <v>-99999901</v>
    <v>84.08</v>
    <v>83.75</v>
    <v>85.41</v>
    <v>86.06</v>
    <v>85.54</v>
    <v>84.35</v>
    <v>83.82</v>
    <v>82.41</v>
    <v>80.77</v>
    <v>80.45</v>
    <v>80.489999999999995</v>
    <v>80.349999999999994</v>
    <v>77.48</v>
    <v>77.39</v>
    <v>77.97</v>
    <v>78.13</v>
    <v>75.09</v>
    <v>71.680000000000007</v>
    <v>68.2</v>
    <v>72.41</v>
    <v>74.959999999999994</v>
    <v>75.069999999999993</v>
    <v>75.680000000000007</v>
    <v>74.62</v>
    <v>74.03</v>
    <v>73.489999999999995</v>
    <v>74.5</v>
    <v>74.09</v>
    <v>75.48</v>
    <v>75.099999999999994</v>
    <v>74.55</v>
    <v>75.650000000000006</v>
    <v>77.040000000000006</v>
    <v>75.12</v>
    <v>75.72</v>
    <v>-99999901</v>
    <v>73.16</v>
    <v>71.55</v>
    <v>72.010000000000005</v>
    <v>74.180000000000007</v>
    <v>76.3</v>
    <v>74.73</v>
    <v>75.510000000000005</v>
    <v>73.569999999999993</v>
    <v>74.72</v>
    <v>71.569999999999993</v>
    <v>71.95</v>
    <v>73.03</v>
    <v>72.91</v>
    <v>75.08</v>
    <v>-99999901</v>
    <v>74.52</v>
    <v>75.38</v>
    <v>73.58</v>
    <v>72.099999999999994</v>
    <v>73.430000000000007</v>
    <v>72.09</v>
    <v>71.58</v>
    <v>73.41</v>
    <v>74.25</v>
    <v>74.58</v>
    <v>-99999901</v>
    <v>74.78</v>
    <v>75.010000000000005</v>
    <v>76.02</v>
    <v>77.34</v>
    <v>77.64</v>
    <v>79.22</v>
    <v>79.87</v>
    <v>79.569999999999993</v>
    <v>78.260000000000005</v>
    <v>78.2</v>
    <v>79.180000000000007</v>
    <v>78.67</v>
    <v>79.66</v>
    <v>80.42</v>
    <v>82.24</v>
    <v>82.6</v>
    <v>82.99</v>
    <v>83.22</v>
    <v>84.52</v>
    <v>84.26</v>
    <v>82.75</v>
    <v>82.37</v>
    <v>85.11</v>
    <v>85.04</v>
    <v>83.32</v>
    <v>85.94</v>
    <v>86.15</v>
    <v>85.85</v>
    <v>85.5</v>
    <v>84.29</v>
    <v>83.12</v>
    <v>83.05</v>
    <v>83.32</v>
    <v>84.31</v>
    <v>83.84</v>
    <v>81.97</v>
    <v>81.97</v>
    <v>82.69</v>
    <v>84.11</v>
    <v>83.78</v>
    <v>85.13</v>
    <v>85.85</v>
    <v>86.74</v>
    <v>-99999901</v>
    <v>88.07</v>
    <v>89.25</v>
    <v>89.47</v>
    <v>89.3</v>
    <v>90.12</v>
    <v>90.54</v>
    <v>91.63</v>
    <v>92.03</v>
    <v>92.67</v>
    <v>93.78</v>
    <v>94.17</v>
    <v>92.76</v>
    <v>92.2</v>
    <v>92.8</v>
    <v>92.54</v>
    <v>91.8</v>
    <v>94.15</v>
    <v>94.75</v>
    <v>94.96</v>
    <v>90.35</v>
    <v>89.52</v>
    <v>85.73</v>
    <v>83.84</v>
    <v>83.45</v>
    <v>86.07</v>
    <v>86.92</v>
    <v>85.22</v>
    <v>85.18</v>
    <v>86.28</v>
    <v>89.49</v>
    <v>88.87</v>
    <v>90.6</v>
    <v>89.53</v>
    <v>91.68</v>
    <v>89.62</v>
    <v>87.35</v>
    <v>86.67</v>
    <v>87.55</v>
    <v>87.84</v>
    <v>87.22</v>
    <v>87.42</v>
    <v>84.56</v>
    <v>84.61</v>
    <v>84.55</v>
    <v>84.91</v>
    <v>81.42</v>
    <v>79.16</v>
    <v>79.44</v>
    <v>79.61</v>
    <v>80.41</v>
    <v>82.05</v>
    <v>80.8</v>
    <v>76.599999999999994</v>
    <v>77.28</v>
    <v>79.97</v>
    <v>81.41</v>
    <v>78.41</v>
    <v>-99999901</v>
    <v>80.180000000000007</v>
    <v>79.13</v>
    <v>79.83</v>
    <v>80.959999999999994</v>
    <v>82.67</v>
    <v>78.75</v>
    <v>77.52</v>
    <v>76.98</v>
    <v>74.11</v>
    <v>73.61</v>
    <v>74.23</v>
    <v>75</v>
    <v>72.86</v>
    <v>72.3</v>
    <v>74.459999999999994</v>
    <v>75.33</v>
    <v>75.78</v>
    <v>77.430000000000007</v>
    <v>79.08</v>
    <v>77.849999999999994</v>
    <v>78.83</v>
    <v>-99999901</v>
    <v>78.81</v>
    <v>79.489999999999995</v>
    <v>78.34</v>
    <v>76.75</v>
    <v>-99999901</v>
    <v>75.599999999999994</v>
    <v>74.790000000000006</v>
    <v>76.5</v>
    <v>77.5</v>
    <v>75.260000000000005</v>
    <v>75.959999999999994</v>
    <v>76.38</v>
    <v>76.650000000000006</v>
    <v>77.930000000000007</v>
    <v>-99999901</v>
    <v>76.83</v>
    <v>76.5</v>
    <v>77.34</v>
    <v>78.33</v>
    <v>77.819999999999993</v>
    <v>78.7</v>
    <v>79.05</v>
    <v>80.069999999999993</v>
    <v>81.319999999999993</v>
    <v>82.04</v>
    <v>81.34</v>
    <v>81.88</v>
    <v>78.58</v>
    <v>76.86</v>
    <v>76.62</v>
    <v>77.650000000000006</v>
    <v>78.489999999999995</v>
    <v>79.02</v>
    <v>81.209999999999994</v>
    <v>80.790000000000006</v>
    <v>81.96</v>
    <v>81.39</v>
    <v>80.72</v>
    <v>81.900000000000006</v>
    <v>-99999901</v>
    <v>82.05</v>
    <v>81.67</v>
    <v>82.34</v>
    <v>81.44</v>
    <v>81.02</v>
    <v>82.1</v>
    <v>82.62</v>
    <v>83.04</v>
    <v>81.81</v>
    <v>82.58</v>
    <v>81.73</v>
    <v>81.89</v>
    <v>82.07</v>
    <v>81.709999999999994</v>
    <v>81.08</v>
    <v>81.69</v>
    <v>81.97</v>
    <v>83.94</v>
    <v>84.63</v>
    <v>85.26</v>
    <v>86.49</v>
    <v>85.58</v>
    <v>85.05</v>
    <v>85.11</v>
    <v>85.4</v>
    <v>85.81</v>
    <v>85.18</v>
    <v>86.32</v>
    <v>-99999901</v>
    <v>86.4</v>
    <v>87.65</v>
    <v>88.68</v>
    <v>88.73</v>
    <v>90.57</v>
    <v>88.8</v>
    <v>89.27</v>
    <v>88.83</v>
    <v>89.37</v>
    <v>90.01</v>
    <v>88.73</v>
    <v>89.41</v>
    <v>87.14</v>
    <v>86.1</v>
    <v>86.16</v>
    <v>85.79</v>
    <v>86.04</v>
    <v>87.65</v>
    <v>87.29</v>
    <v>88.8</v>
    <v>88.1</v>
    <v>87.47</v>
    <v>83.29</v>
    <v>83.03</v>
    <v>82.8</v>
    <v>82.76</v>
    <v>82.4</v>
    <v>81.72</v>
    <v>83.46</v>
    <v>82.71</v>
    <v>82.26</v>
    <v>82.1</v>
    <v>81.06</v>
    <v>82.31</v>
    <v>83.09</v>
    <v>83.12</v>
    <v>82.06</v>
    <v>81.58</v>
    <v>80.930000000000007</v>
    <v>80.66</v>
  </a>
</arrayData>
</file>

<file path=xl/richData/rdrichvalue.xml><?xml version="1.0" encoding="utf-8"?>
<rvData xmlns="http://schemas.microsoft.com/office/spreadsheetml/2017/richdata" count="1965">
  <rv s="0">
    <fb>44707</fb>
    <v>0</v>
  </rv>
  <rv s="0">
    <fb>114.45</fb>
    <v>1</v>
  </rv>
  <rv s="0">
    <fb>118</fb>
    <v>1</v>
  </rv>
  <rv s="0">
    <fb>113.84</fb>
    <v>1</v>
  </rv>
  <rv s="0">
    <fb>117.4</fb>
    <v>1</v>
  </rv>
  <rv s="0">
    <fb>44708</fb>
    <v>0</v>
  </rv>
  <rv s="0">
    <fb>117.54</fb>
    <v>1</v>
  </rv>
  <rv s="0">
    <fb>119.73</fb>
    <v>1</v>
  </rv>
  <rv s="0">
    <fb>116.68</fb>
    <v>1</v>
  </rv>
  <rv s="0">
    <fb>119.43</fb>
    <v>1</v>
  </rv>
  <rv s="0">
    <fb>44711</fb>
    <v>0</v>
  </rv>
  <rv s="1">
    <fb t="e">#N/A</fb>
    <v>6</v>
    <v>4</v>
  </rv>
  <rv s="0">
    <fb>44712</fb>
    <v>0</v>
  </rv>
  <rv s="0">
    <fb>119.47</fb>
    <v>1</v>
  </rv>
  <rv s="0">
    <fb>124.13</fb>
    <v>1</v>
  </rv>
  <rv s="0">
    <fb>119.36</fb>
    <v>1</v>
  </rv>
  <rv s="0">
    <fb>122.84</fb>
    <v>1</v>
  </rv>
  <rv s="0">
    <fb>44713</fb>
    <v>0</v>
  </rv>
  <rv s="0">
    <fb>116.63</fb>
    <v>1</v>
  </rv>
  <rv s="0">
    <fb>118.58</fb>
    <v>1</v>
  </rv>
  <rv s="0">
    <fb>115.43</fb>
    <v>1</v>
  </rv>
  <rv s="0">
    <fb>116.29</fb>
    <v>1</v>
  </rv>
  <rv s="0">
    <fb>44714</fb>
    <v>0</v>
  </rv>
  <rv s="0">
    <fb>115.82</fb>
    <v>1</v>
  </rv>
  <rv s="0">
    <fb>118.44</fb>
    <v>1</v>
  </rv>
  <rv s="0">
    <fb>112.48</fb>
    <v>1</v>
  </rv>
  <rv s="0">
    <fb>117.61</fb>
    <v>1</v>
  </rv>
  <rv s="0">
    <fb>44715</fb>
    <v>0</v>
  </rv>
  <rv s="0">
    <fb>118.26</fb>
    <v>1</v>
  </rv>
  <rv s="0">
    <fb>121.44</fb>
    <v>1</v>
  </rv>
  <rv s="0">
    <fb>116.08</fb>
    <v>1</v>
  </rv>
  <rv s="0">
    <fb>119.72</fb>
    <v>1</v>
  </rv>
  <rv s="0">
    <fb>44718</fb>
    <v>0</v>
  </rv>
  <rv s="0">
    <fb>121.35</fb>
    <v>1</v>
  </rv>
  <rv s="0">
    <fb>121.89</fb>
    <v>1</v>
  </rv>
  <rv s="0">
    <fb>118.76</fb>
    <v>1</v>
  </rv>
  <rv s="0">
    <fb>119.51</fb>
    <v>1</v>
  </rv>
  <rv s="0">
    <fb>44719</fb>
    <v>0</v>
  </rv>
  <rv s="0">
    <fb>120.08</fb>
    <v>1</v>
  </rv>
  <rv s="0">
    <fb>121.38</fb>
    <v>1</v>
  </rv>
  <rv s="0">
    <fb>118.56</fb>
    <v>1</v>
  </rv>
  <rv s="0">
    <fb>120.57</fb>
    <v>1</v>
  </rv>
  <rv s="0">
    <fb>44720</fb>
    <v>0</v>
  </rv>
  <rv s="0">
    <fb>121.03</fb>
    <v>1</v>
  </rv>
  <rv s="0">
    <fb>124.41</fb>
    <v>1</v>
  </rv>
  <rv s="0">
    <fb>120.46</fb>
    <v>1</v>
  </rv>
  <rv s="0">
    <fb>123.58</fb>
    <v>1</v>
  </rv>
  <rv s="0">
    <fb>44721</fb>
    <v>0</v>
  </rv>
  <rv s="0">
    <fb>123.89</fb>
    <v>1</v>
  </rv>
  <rv s="0">
    <fb>124.33</fb>
    <v>1</v>
  </rv>
  <rv s="0">
    <fb>122.5</fb>
    <v>1</v>
  </rv>
  <rv s="0">
    <fb>123.07</fb>
    <v>1</v>
  </rv>
  <rv s="0">
    <fb>44722</fb>
    <v>0</v>
  </rv>
  <rv s="0">
    <fb>122.94</fb>
    <v>1</v>
  </rv>
  <rv s="0">
    <fb>119.87</fb>
    <v>1</v>
  </rv>
  <rv s="0">
    <fb>122.01</fb>
    <v>1</v>
  </rv>
  <rv s="0">
    <fb>44725</fb>
    <v>0</v>
  </rv>
  <rv s="0">
    <fb>121.69</fb>
    <v>1</v>
  </rv>
  <rv s="0">
    <fb>123.61</fb>
    <v>1</v>
  </rv>
  <rv s="0">
    <fb>118.95</fb>
    <v>1</v>
  </rv>
  <rv s="0">
    <fb>122.27</fb>
    <v>1</v>
  </rv>
  <rv s="0">
    <fb>44726</fb>
    <v>0</v>
  </rv>
  <rv s="0">
    <fb>125.18</fb>
    <v>1</v>
  </rv>
  <rv s="0">
    <fb>118.94</fb>
    <v>1</v>
  </rv>
  <rv s="0">
    <fb>121.17</fb>
    <v>1</v>
  </rv>
  <rv s="0">
    <fb>44727</fb>
    <v>0</v>
  </rv>
  <rv s="0">
    <fb>121</fb>
    <v>1</v>
  </rv>
  <rv s="0">
    <fb>121.85</fb>
    <v>1</v>
  </rv>
  <rv s="0">
    <fb>117.75</fb>
    <v>1</v>
  </rv>
  <rv s="0">
    <fb>118.51</fb>
    <v>1</v>
  </rv>
  <rv s="0">
    <fb>44728</fb>
    <v>0</v>
  </rv>
  <rv s="0">
    <fb>119.12</fb>
    <v>1</v>
  </rv>
  <rv s="0">
    <fb>120.28</fb>
    <v>1</v>
  </rv>
  <rv s="0">
    <fb>115.58</fb>
    <v>1</v>
  </rv>
  <rv s="0">
    <fb>119.81</fb>
    <v>1</v>
  </rv>
  <rv s="0">
    <fb>44729</fb>
    <v>0</v>
  </rv>
  <rv s="0">
    <fb>119.34</fb>
    <v>1</v>
  </rv>
  <rv s="0">
    <fb>121.25</fb>
    <v>1</v>
  </rv>
  <rv s="0">
    <fb>111.72</fb>
    <v>1</v>
  </rv>
  <rv s="0">
    <fb>113.12</fb>
    <v>1</v>
  </rv>
  <rv s="0">
    <fb>44732</fb>
    <v>0</v>
  </rv>
  <rv s="0">
    <fb>44733</fb>
    <v>0</v>
  </rv>
  <rv s="0">
    <fb>113.8</fb>
    <v>1</v>
  </rv>
  <rv s="0">
    <fb>116.25</fb>
    <v>1</v>
  </rv>
  <rv s="0">
    <fb>111.57</fb>
    <v>1</v>
  </rv>
  <rv s="0">
    <fb>114.65</fb>
    <v>1</v>
  </rv>
  <rv s="0">
    <fb>44734</fb>
    <v>0</v>
  </rv>
  <rv s="0">
    <fb>114.57</fb>
    <v>1</v>
  </rv>
  <rv s="0">
    <fb>107.03</fb>
    <v>1</v>
  </rv>
  <rv s="0">
    <fb>111.74</fb>
    <v>1</v>
  </rv>
  <rv s="0">
    <fb>44735</fb>
    <v>0</v>
  </rv>
  <rv s="0">
    <fb>110.22</fb>
    <v>1</v>
  </rv>
  <rv s="0">
    <fb>112.69</fb>
    <v>1</v>
  </rv>
  <rv s="0">
    <fb>108.11</fb>
    <v>1</v>
  </rv>
  <rv s="0">
    <fb>110.05</fb>
    <v>1</v>
  </rv>
  <rv s="0">
    <fb>44736</fb>
    <v>0</v>
  </rv>
  <rv s="0">
    <fb>109.81</fb>
    <v>1</v>
  </rv>
  <rv s="0">
    <fb>113.99</fb>
    <v>1</v>
  </rv>
  <rv s="0">
    <fb>109.27</fb>
    <v>1</v>
  </rv>
  <rv s="0">
    <fb>44739</fb>
    <v>0</v>
  </rv>
  <rv s="0">
    <fb>112.46</fb>
    <v>1</v>
  </rv>
  <rv s="0">
    <fb>116.04</fb>
    <v>1</v>
  </rv>
  <rv s="0">
    <fb>111.25</fb>
    <v>1</v>
  </rv>
  <rv s="0">
    <fb>115.09</fb>
    <v>1</v>
  </rv>
  <rv s="0">
    <fb>44740</fb>
    <v>0</v>
  </rv>
  <rv s="0">
    <fb>115.84</fb>
    <v>1</v>
  </rv>
  <rv s="0">
    <fb>118.24</fb>
    <v>1</v>
  </rv>
  <rv s="0">
    <fb>115.4</fb>
    <v>1</v>
  </rv>
  <rv s="0">
    <fb>117.98</fb>
    <v>1</v>
  </rv>
  <rv s="0">
    <fb>44741</fb>
    <v>0</v>
  </rv>
  <rv s="0">
    <fb>117.96</fb>
    <v>1</v>
  </rv>
  <rv s="0">
    <fb>120.38</fb>
    <v>1</v>
  </rv>
  <rv s="0">
    <fb>115.41</fb>
    <v>1</v>
  </rv>
  <rv s="0">
    <fb>116.26</fb>
    <v>1</v>
  </rv>
  <rv s="0">
    <fb>44742</fb>
    <v>0</v>
  </rv>
  <rv s="0">
    <fb>116.33</fb>
    <v>1</v>
  </rv>
  <rv s="0">
    <fb>115</fb>
    <v>1</v>
  </rv>
  <rv s="0">
    <fb>114.81</fb>
    <v>1</v>
  </rv>
  <rv s="0">
    <fb>44743</fb>
    <v>0</v>
  </rv>
  <rv s="0">
    <fb>109.46</fb>
    <v>1</v>
  </rv>
  <rv s="0">
    <fb>112.42</fb>
    <v>1</v>
  </rv>
  <rv s="0">
    <fb>108.01</fb>
    <v>1</v>
  </rv>
  <rv s="0">
    <fb>111.63</fb>
    <v>1</v>
  </rv>
  <rv s="0">
    <fb>44746</fb>
    <v>0</v>
  </rv>
  <rv s="0">
    <fb>44747</fb>
    <v>0</v>
  </rv>
  <rv s="0">
    <fb>111.61</fb>
    <v>1</v>
  </rv>
  <rv s="0">
    <fb>114.69</fb>
    <v>1</v>
  </rv>
  <rv s="0">
    <fb>101.11</fb>
    <v>1</v>
  </rv>
  <rv s="0">
    <fb>102.77</fb>
    <v>1</v>
  </rv>
  <rv s="0">
    <fb>44748</fb>
    <v>0</v>
  </rv>
  <rv s="0">
    <fb>104</fb>
    <v>1</v>
  </rv>
  <rv s="0">
    <fb>105.8</fb>
    <v>1</v>
  </rv>
  <rv s="0">
    <fb>98.51</fb>
    <v>1</v>
  </rv>
  <rv s="0">
    <fb>100.69</fb>
    <v>1</v>
  </rv>
  <rv s="0">
    <fb>44749</fb>
    <v>0</v>
  </rv>
  <rv s="0">
    <fb>99.96</fb>
    <v>1</v>
  </rv>
  <rv s="0">
    <fb>106.35</fb>
    <v>1</v>
  </rv>
  <rv s="0">
    <fb>98.47</fb>
    <v>1</v>
  </rv>
  <rv s="0">
    <fb>104.65</fb>
    <v>1</v>
  </rv>
  <rv s="0">
    <fb>44750</fb>
    <v>0</v>
  </rv>
  <rv s="0">
    <fb>104.49</fb>
    <v>1</v>
  </rv>
  <rv s="0">
    <fb>107.45</fb>
    <v>1</v>
  </rv>
  <rv s="0">
    <fb>103.75</fb>
    <v>1</v>
  </rv>
  <rv s="0">
    <fb>107.02</fb>
    <v>1</v>
  </rv>
  <rv s="0">
    <fb>44753</fb>
    <v>0</v>
  </rv>
  <rv s="0">
    <fb>106.76</fb>
    <v>1</v>
  </rv>
  <rv s="0">
    <fb>107.66</fb>
    <v>1</v>
  </rv>
  <rv s="0">
    <fb>103.66</fb>
    <v>1</v>
  </rv>
  <rv s="0">
    <fb>107.1</fb>
    <v>1</v>
  </rv>
  <rv s="0">
    <fb>44754</fb>
    <v>0</v>
  </rv>
  <rv s="0">
    <fb>106.23</fb>
    <v>1</v>
  </rv>
  <rv s="0">
    <fb>106.51</fb>
    <v>1</v>
  </rv>
  <rv s="0">
    <fb>98.91</fb>
    <v>1</v>
  </rv>
  <rv s="0">
    <fb>99.49</fb>
    <v>1</v>
  </rv>
  <rv s="0">
    <fb>44755</fb>
    <v>0</v>
  </rv>
  <rv s="0">
    <fb>99.31</fb>
    <v>1</v>
  </rv>
  <rv s="0">
    <fb>101.2</fb>
    <v>1</v>
  </rv>
  <rv s="0">
    <fb>97.3</fb>
    <v>1</v>
  </rv>
  <rv s="0">
    <fb>99.57</fb>
    <v>1</v>
  </rv>
  <rv s="0">
    <fb>44756</fb>
    <v>0</v>
  </rv>
  <rv s="0">
    <fb>99.85</fb>
    <v>1</v>
  </rv>
  <rv s="0">
    <fb>100.37</fb>
    <v>1</v>
  </rv>
  <rv s="0">
    <fb>94.5</fb>
    <v>1</v>
  </rv>
  <rv s="0">
    <fb>99.1</fb>
    <v>1</v>
  </rv>
  <rv s="0">
    <fb>44757</fb>
    <v>0</v>
  </rv>
  <rv s="0">
    <fb>99.6</fb>
    <v>1</v>
  </rv>
  <rv s="0">
    <fb>102.62</fb>
    <v>1</v>
  </rv>
  <rv s="0">
    <fb>98.21</fb>
    <v>1</v>
  </rv>
  <rv s="0">
    <fb>101.16</fb>
    <v>1</v>
  </rv>
  <rv s="0">
    <fb>44760</fb>
    <v>0</v>
  </rv>
  <rv s="0">
    <fb>100.92</fb>
    <v>1</v>
  </rv>
  <rv s="0">
    <fb>106.47</fb>
    <v>1</v>
  </rv>
  <rv s="0">
    <fb>99.48</fb>
    <v>1</v>
  </rv>
  <rv s="0">
    <fb>106.27</fb>
    <v>1</v>
  </rv>
  <rv s="0">
    <fb>44761</fb>
    <v>0</v>
  </rv>
  <rv s="0">
    <fb>105.59</fb>
    <v>1</v>
  </rv>
  <rv s="0">
    <fb>107.6</fb>
    <v>1</v>
  </rv>
  <rv s="0">
    <fb>103.59</fb>
    <v>1</v>
  </rv>
  <rv s="0">
    <fb>107.35</fb>
    <v>1</v>
  </rv>
  <rv s="0">
    <fb>44762</fb>
    <v>0</v>
  </rv>
  <rv s="0">
    <fb>107.15</fb>
    <v>1</v>
  </rv>
  <rv s="0">
    <fb>107.43</fb>
    <v>1</v>
  </rv>
  <rv s="0">
    <fb>105.09</fb>
    <v>1</v>
  </rv>
  <rv s="0">
    <fb>106.92</fb>
    <v>1</v>
  </rv>
  <rv s="0">
    <fb>44763</fb>
    <v>0</v>
  </rv>
  <rv s="0">
    <fb>106.79</fb>
    <v>1</v>
  </rv>
  <rv s="0">
    <fb>106.8</fb>
    <v>1</v>
  </rv>
  <rv s="0">
    <fb>101.52</fb>
    <v>1</v>
  </rv>
  <rv s="0">
    <fb>103.86</fb>
    <v>1</v>
  </rv>
  <rv s="0">
    <fb>44764</fb>
    <v>0</v>
  </rv>
  <rv s="0">
    <fb>104.25</fb>
    <v>1</v>
  </rv>
  <rv s="0">
    <fb>105.68</fb>
    <v>1</v>
  </rv>
  <rv s="0">
    <fb>101.91</fb>
    <v>1</v>
  </rv>
  <rv s="0">
    <fb>103.2</fb>
    <v>1</v>
  </rv>
  <rv s="0">
    <fb>44767</fb>
    <v>0</v>
  </rv>
  <rv s="0">
    <fb>103.44</fb>
    <v>1</v>
  </rv>
  <rv s="0">
    <fb>105.35</fb>
    <v>1</v>
  </rv>
  <rv s="0">
    <fb>101.67</fb>
    <v>1</v>
  </rv>
  <rv s="0">
    <fb>105.15</fb>
    <v>1</v>
  </rv>
  <rv s="0">
    <fb>44768</fb>
    <v>0</v>
  </rv>
  <rv s="0">
    <fb>104.81</fb>
    <v>1</v>
  </rv>
  <rv s="0">
    <fb>103.98</fb>
    <v>1</v>
  </rv>
  <rv s="0">
    <fb>104.4</fb>
    <v>1</v>
  </rv>
  <rv s="0">
    <fb>44769</fb>
    <v>0</v>
  </rv>
  <rv s="0">
    <fb>104.78</fb>
    <v>1</v>
  </rv>
  <rv s="0">
    <fb>107.8</fb>
    <v>1</v>
  </rv>
  <rv s="0">
    <fb>103.72</fb>
    <v>1</v>
  </rv>
  <rv s="0">
    <fb>106.62</fb>
    <v>1</v>
  </rv>
  <rv s="0">
    <fb>44770</fb>
    <v>0</v>
  </rv>
  <rv s="0">
    <fb>107.49</fb>
    <v>1</v>
  </rv>
  <rv s="0">
    <fb>108.98</fb>
    <v>1</v>
  </rv>
  <rv s="0">
    <fb>105.96</fb>
    <v>1</v>
  </rv>
  <rv s="0">
    <fb>107.14</fb>
    <v>1</v>
  </rv>
  <rv s="0">
    <fb>44771</fb>
    <v>0</v>
  </rv>
  <rv s="0">
    <fb>108.05</fb>
    <v>1</v>
  </rv>
  <rv s="0">
    <fb>110.43</fb>
    <v>1</v>
  </rv>
  <rv s="0">
    <fb>108.03</fb>
    <v>1</v>
  </rv>
  <rv s="0">
    <fb>110.01</fb>
    <v>1</v>
  </rv>
  <rv s="0">
    <fb>44774</fb>
    <v>0</v>
  </rv>
  <rv s="0">
    <fb>103.87</fb>
    <v>1</v>
  </rv>
  <rv s="0">
    <fb>104.37</fb>
    <v>1</v>
  </rv>
  <rv s="0">
    <fb>100.03</fb>
    <v>1</v>
  </rv>
  <rv s="0">
    <fb>44775</fb>
    <v>0</v>
  </rv>
  <rv s="0">
    <fb>100</fb>
    <v>1</v>
  </rv>
  <rv s="0">
    <fb>102.41</fb>
    <v>1</v>
  </rv>
  <rv s="0">
    <fb>100.54</fb>
    <v>1</v>
  </rv>
  <rv s="0">
    <fb>44776</fb>
    <v>0</v>
  </rv>
  <rv s="0">
    <fb>99.64</fb>
    <v>1</v>
  </rv>
  <rv s="0">
    <fb>102.37</fb>
    <v>1</v>
  </rv>
  <rv s="0">
    <fb>96.48</fb>
    <v>1</v>
  </rv>
  <rv s="0">
    <fb>96.78</fb>
    <v>1</v>
  </rv>
  <rv s="0">
    <fb>44777</fb>
    <v>0</v>
  </rv>
  <rv s="0">
    <fb>97.01</fb>
    <v>1</v>
  </rv>
  <rv s="0">
    <fb>97.63</fb>
    <v>1</v>
  </rv>
  <rv s="0">
    <fb>93.15</fb>
    <v>1</v>
  </rv>
  <rv s="0">
    <fb>94.12</fb>
    <v>1</v>
  </rv>
  <rv s="0">
    <fb>44778</fb>
    <v>0</v>
  </rv>
  <rv s="0">
    <fb>93.59</fb>
    <v>1</v>
  </rv>
  <rv s="0">
    <fb>96.4</fb>
    <v>1</v>
  </rv>
  <rv s="0">
    <fb>92.75</fb>
    <v>1</v>
  </rv>
  <rv s="0">
    <fb>94.92</fb>
    <v>1</v>
  </rv>
  <rv s="0">
    <fb>44781</fb>
    <v>0</v>
  </rv>
  <rv s="0">
    <fb>94.27</fb>
    <v>1</v>
  </rv>
  <rv s="0">
    <fb>96.73</fb>
    <v>1</v>
  </rv>
  <rv s="0">
    <fb>92.99</fb>
    <v>1</v>
  </rv>
  <rv s="0">
    <fb>96.65</fb>
    <v>1</v>
  </rv>
  <rv s="0">
    <fb>44782</fb>
    <v>0</v>
  </rv>
  <rv s="0">
    <fb>96.54</fb>
    <v>1</v>
  </rv>
  <rv s="0">
    <fb>98.39</fb>
    <v>1</v>
  </rv>
  <rv s="0">
    <fb>94.91</fb>
    <v>1</v>
  </rv>
  <rv s="0">
    <fb>96.31</fb>
    <v>1</v>
  </rv>
  <rv s="0">
    <fb>44783</fb>
    <v>0</v>
  </rv>
  <rv s="0">
    <fb>96.46</fb>
    <v>1</v>
  </rv>
  <rv s="0">
    <fb>97.98</fb>
    <v>1</v>
  </rv>
  <rv s="0">
    <fb>93.61</fb>
    <v>1</v>
  </rv>
  <rv s="0">
    <fb>97.4</fb>
    <v>1</v>
  </rv>
  <rv s="0">
    <fb>44784</fb>
    <v>0</v>
  </rv>
  <rv s="0">
    <fb>97.27</fb>
    <v>1</v>
  </rv>
  <rv s="0">
    <fb>100.16</fb>
    <v>1</v>
  </rv>
  <rv s="0">
    <fb>44785</fb>
    <v>0</v>
  </rv>
  <rv s="0">
    <fb>99.29</fb>
    <v>1</v>
  </rv>
  <rv s="0">
    <fb>100.35</fb>
    <v>1</v>
  </rv>
  <rv s="0">
    <fb>96.94</fb>
    <v>1</v>
  </rv>
  <rv s="0">
    <fb>98.15</fb>
    <v>1</v>
  </rv>
  <rv s="0">
    <fb>44788</fb>
    <v>0</v>
  </rv>
  <rv s="0">
    <fb>97.76</fb>
    <v>1</v>
  </rv>
  <rv s="0">
    <fb>98.04</fb>
    <v>1</v>
  </rv>
  <rv s="0">
    <fb>92.72</fb>
    <v>1</v>
  </rv>
  <rv s="0">
    <fb>95.1</fb>
    <v>1</v>
  </rv>
  <rv s="0">
    <fb>44789</fb>
    <v>0</v>
  </rv>
  <rv s="0">
    <fb>93.64</fb>
    <v>1</v>
  </rv>
  <rv s="0">
    <fb>95.95</fb>
    <v>1</v>
  </rv>
  <rv s="0">
    <fb>91.72</fb>
    <v>1</v>
  </rv>
  <rv s="0">
    <fb>92.34</fb>
    <v>1</v>
  </rv>
  <rv s="0">
    <fb>44790</fb>
    <v>0</v>
  </rv>
  <rv s="0">
    <fb>92.77</fb>
    <v>1</v>
  </rv>
  <rv s="0">
    <fb>94.46</fb>
    <v>1</v>
  </rv>
  <rv s="0">
    <fb>91.52</fb>
    <v>1</v>
  </rv>
  <rv s="0">
    <fb>93.65</fb>
    <v>1</v>
  </rv>
  <rv s="0">
    <fb>44791</fb>
    <v>0</v>
  </rv>
  <rv s="0">
    <fb>93.18</fb>
    <v>1</v>
  </rv>
  <rv s="0">
    <fb>97.41</fb>
    <v>1</v>
  </rv>
  <rv s="0">
    <fb>93.05</fb>
    <v>1</v>
  </rv>
  <rv s="0">
    <fb>96.59</fb>
    <v>1</v>
  </rv>
  <rv s="0">
    <fb>44792</fb>
    <v>0</v>
  </rv>
  <rv s="0">
    <fb>96.63</fb>
    <v>1</v>
  </rv>
  <rv s="0">
    <fb>97.87</fb>
    <v>1</v>
  </rv>
  <rv s="0">
    <fb>94.25</fb>
    <v>1</v>
  </rv>
  <rv s="0">
    <fb>96.72</fb>
    <v>1</v>
  </rv>
  <rv s="0">
    <fb>44795</fb>
    <v>0</v>
  </rv>
  <rv s="0">
    <fb>95.66</fb>
    <v>1</v>
  </rv>
  <rv s="0">
    <fb>97.25</fb>
    <v>1</v>
  </rv>
  <rv s="0">
    <fb>92.36</fb>
    <v>1</v>
  </rv>
  <rv s="0">
    <fb>44796</fb>
    <v>0</v>
  </rv>
  <rv s="0">
    <fb>96.58</fb>
    <v>1</v>
  </rv>
  <rv s="0">
    <fb>100.45</fb>
    <v>1</v>
  </rv>
  <rv s="0">
    <fb>96.51</fb>
    <v>1</v>
  </rv>
  <rv s="0">
    <fb>100.22</fb>
    <v>1</v>
  </rv>
  <rv s="0">
    <fb>44797</fb>
    <v>0</v>
  </rv>
  <rv s="0">
    <fb>102</fb>
    <v>1</v>
  </rv>
  <rv s="0">
    <fb>99.07</fb>
    <v>1</v>
  </rv>
  <rv s="0">
    <fb>101.22</fb>
    <v>1</v>
  </rv>
  <rv s="0">
    <fb>44798</fb>
    <v>0</v>
  </rv>
  <rv s="0">
    <fb>101.6</fb>
    <v>1</v>
  </rv>
  <rv s="0">
    <fb>102.47</fb>
    <v>1</v>
  </rv>
  <rv s="0">
    <fb>99.12</fb>
    <v>1</v>
  </rv>
  <rv s="0">
    <fb>99.34</fb>
    <v>1</v>
  </rv>
  <rv s="0">
    <fb>44799</fb>
    <v>0</v>
  </rv>
  <rv s="0">
    <fb>99.88</fb>
    <v>1</v>
  </rv>
  <rv s="0">
    <fb>101.17</fb>
    <v>1</v>
  </rv>
  <rv s="0">
    <fb>98.14</fb>
    <v>1</v>
  </rv>
  <rv s="0">
    <fb>100.99</fb>
    <v>1</v>
  </rv>
  <rv s="0">
    <fb>44802</fb>
    <v>0</v>
  </rv>
  <rv s="0">
    <fb>100.83</fb>
    <v>1</v>
  </rv>
  <rv s="0">
    <fb>105.48</fb>
    <v>1</v>
  </rv>
  <rv s="0">
    <fb>100.29</fb>
    <v>1</v>
  </rv>
  <rv s="0">
    <fb>44803</fb>
    <v>0</v>
  </rv>
  <rv s="0">
    <fb>105</fb>
    <v>1</v>
  </rv>
  <rv s="0">
    <fb>105.37</fb>
    <v>1</v>
  </rv>
  <rv s="0">
    <fb>97.67</fb>
    <v>1</v>
  </rv>
  <rv s="0">
    <fb>44804</fb>
    <v>0</v>
  </rv>
  <rv s="0">
    <fb>99.71</fb>
    <v>1</v>
  </rv>
  <rv s="0">
    <fb>100.3</fb>
    <v>1</v>
  </rv>
  <rv s="0">
    <fb>95.76</fb>
    <v>1</v>
  </rv>
  <rv s="0">
    <fb>96.49</fb>
    <v>1</v>
  </rv>
  <rv s="0">
    <fb>44805</fb>
    <v>0</v>
  </rv>
  <rv s="0">
    <fb>94.78</fb>
    <v>1</v>
  </rv>
  <rv s="0">
    <fb>91.81</fb>
    <v>1</v>
  </rv>
  <rv s="0">
    <fb>44806</fb>
    <v>0</v>
  </rv>
  <rv s="0">
    <fb>92</fb>
    <v>1</v>
  </rv>
  <rv s="0">
    <fb>95.32</fb>
    <v>1</v>
  </rv>
  <rv s="0">
    <fb>93.02</fb>
    <v>1</v>
  </rv>
  <rv s="0">
    <fb>44809</fb>
    <v>0</v>
  </rv>
  <rv s="0">
    <fb>44810</fb>
    <v>0</v>
  </rv>
  <rv s="0">
    <fb>93.09</fb>
    <v>1</v>
  </rv>
  <rv s="0">
    <fb>96.99</fb>
    <v>1</v>
  </rv>
  <rv s="0">
    <fb>92.28</fb>
    <v>1</v>
  </rv>
  <rv s="0">
    <fb>92.83</fb>
    <v>1</v>
  </rv>
  <rv s="0">
    <fb>44811</fb>
    <v>0</v>
  </rv>
  <rv s="0">
    <fb>92.8</fb>
    <v>1</v>
  </rv>
  <rv s="0">
    <fb>93.79</fb>
    <v>1</v>
  </rv>
  <rv s="0">
    <fb>87.4</fb>
    <v>1</v>
  </rv>
  <rv s="0">
    <fb>88</fb>
    <v>1</v>
  </rv>
  <rv s="0">
    <fb>44812</fb>
    <v>0</v>
  </rv>
  <rv s="0">
    <fb>87.64</fb>
    <v>1</v>
  </rv>
  <rv s="0">
    <fb>89.83</fb>
    <v>1</v>
  </rv>
  <rv s="0">
    <fb>87.23</fb>
    <v>1</v>
  </rv>
  <rv s="0">
    <fb>89.15</fb>
    <v>1</v>
  </rv>
  <rv s="0">
    <fb>44813</fb>
    <v>0</v>
  </rv>
  <rv s="0">
    <fb>88.46</fb>
    <v>1</v>
  </rv>
  <rv s="0">
    <fb>93.1</fb>
    <v>1</v>
  </rv>
  <rv s="0">
    <fb>88.32</fb>
    <v>1</v>
  </rv>
  <rv s="0">
    <fb>92.84</fb>
    <v>1</v>
  </rv>
  <rv s="0">
    <fb>44816</fb>
    <v>0</v>
  </rv>
  <rv s="0">
    <fb>92.3</fb>
    <v>1</v>
  </rv>
  <rv s="0">
    <fb>95.17</fb>
    <v>1</v>
  </rv>
  <rv s="0">
    <fb>91.21</fb>
    <v>1</v>
  </rv>
  <rv s="0">
    <fb>94</fb>
    <v>1</v>
  </rv>
  <rv s="0">
    <fb>44817</fb>
    <v>0</v>
  </rv>
  <rv s="0">
    <fb>94.21</fb>
    <v>1</v>
  </rv>
  <rv s="0">
    <fb>95.51</fb>
    <v>1</v>
  </rv>
  <rv s="0">
    <fb>91.07</fb>
    <v>1</v>
  </rv>
  <rv s="0">
    <fb>93.17</fb>
    <v>1</v>
  </rv>
  <rv s="0">
    <fb>44818</fb>
    <v>0</v>
  </rv>
  <rv s="0">
    <fb>93.49</fb>
    <v>1</v>
  </rv>
  <rv s="0">
    <fb>95.81</fb>
    <v>1</v>
  </rv>
  <rv s="0">
    <fb>91.95</fb>
    <v>1</v>
  </rv>
  <rv s="0">
    <fb>94.1</fb>
    <v>1</v>
  </rv>
  <rv s="0">
    <fb>44819</fb>
    <v>0</v>
  </rv>
  <rv s="0">
    <fb>94.43</fb>
    <v>1</v>
  </rv>
  <rv s="0">
    <fb>94.65</fb>
    <v>1</v>
  </rv>
  <rv s="0">
    <fb>90.05</fb>
    <v>1</v>
  </rv>
  <rv s="0">
    <fb>90.84</fb>
    <v>1</v>
  </rv>
  <rv s="0">
    <fb>44820</fb>
    <v>0</v>
  </rv>
  <rv s="0">
    <fb>90.65</fb>
    <v>1</v>
  </rv>
  <rv s="0">
    <fb>92.64</fb>
    <v>1</v>
  </rv>
  <rv s="0">
    <fb>90.22</fb>
    <v>1</v>
  </rv>
  <rv s="0">
    <fb>91.35</fb>
    <v>1</v>
  </rv>
  <rv s="0">
    <fb>44823</fb>
    <v>0</v>
  </rv>
  <rv s="0">
    <fb>91.65</fb>
    <v>1</v>
  </rv>
  <rv s="0">
    <fb>92.58</fb>
    <v>1</v>
  </rv>
  <rv s="0">
    <fb>88.48</fb>
    <v>1</v>
  </rv>
  <rv s="0">
    <fb>44824</fb>
    <v>0</v>
  </rv>
  <rv s="0">
    <fb>91.97</fb>
    <v>1</v>
  </rv>
  <rv s="0">
    <fb>89.8</fb>
    <v>1</v>
  </rv>
  <rv s="0">
    <fb>90.62</fb>
    <v>1</v>
  </rv>
  <rv s="0">
    <fb>44825</fb>
    <v>0</v>
  </rv>
  <rv s="0">
    <fb>90.69</fb>
    <v>1</v>
  </rv>
  <rv s="0">
    <fb>93.51</fb>
    <v>1</v>
  </rv>
  <rv s="0">
    <fb>89.3</fb>
    <v>1</v>
  </rv>
  <rv s="0">
    <fb>44826</fb>
    <v>0</v>
  </rv>
  <rv s="0">
    <fb>89.92</fb>
    <v>1</v>
  </rv>
  <rv s="0">
    <fb>89.29</fb>
    <v>1</v>
  </rv>
  <rv s="0">
    <fb>90.46</fb>
    <v>1</v>
  </rv>
  <rv s="0">
    <fb>44827</fb>
    <v>0</v>
  </rv>
  <rv s="0">
    <fb>90.35</fb>
    <v>1</v>
  </rv>
  <rv s="0">
    <fb>90.71</fb>
    <v>1</v>
  </rv>
  <rv s="0">
    <fb>85.46</fb>
    <v>1</v>
  </rv>
  <rv s="0">
    <fb>86.15</fb>
    <v>1</v>
  </rv>
  <rv s="0">
    <fb>44830</fb>
    <v>0</v>
  </rv>
  <rv s="0">
    <fb>86.72</fb>
    <v>1</v>
  </rv>
  <rv s="0">
    <fb>87.66</fb>
    <v>1</v>
  </rv>
  <rv s="0">
    <fb>83.63</fb>
    <v>1</v>
  </rv>
  <rv s="0">
    <fb>84.06</fb>
    <v>1</v>
  </rv>
  <rv s="0">
    <fb>44831</fb>
    <v>0</v>
  </rv>
  <rv s="0">
    <fb>83.91</fb>
    <v>1</v>
  </rv>
  <rv s="0">
    <fb>87.13</fb>
    <v>1</v>
  </rv>
  <rv s="0">
    <fb>86.27</fb>
    <v>1</v>
  </rv>
  <rv s="0">
    <fb>44832</fb>
    <v>0</v>
  </rv>
  <rv s="0">
    <fb>85.83</fb>
    <v>1</v>
  </rv>
  <rv s="0">
    <fb>89.49</fb>
    <v>1</v>
  </rv>
  <rv s="0">
    <fb>84.27</fb>
    <v>1</v>
  </rv>
  <rv s="0">
    <fb>89.32</fb>
    <v>1</v>
  </rv>
  <rv s="0">
    <fb>44833</fb>
    <v>0</v>
  </rv>
  <rv s="0">
    <fb>88.95</fb>
    <v>1</v>
  </rv>
  <rv s="0">
    <fb>90.1</fb>
    <v>1</v>
  </rv>
  <rv s="0">
    <fb>87.45</fb>
    <v>1</v>
  </rv>
  <rv s="0">
    <fb>88.49</fb>
    <v>1</v>
  </rv>
  <rv s="0">
    <fb>44834</fb>
    <v>0</v>
  </rv>
  <rv s="0">
    <fb>88.56</fb>
    <v>1</v>
  </rv>
  <rv s="0">
    <fb>89.52</fb>
    <v>1</v>
  </rv>
  <rv s="0">
    <fb>87.85</fb>
    <v>1</v>
  </rv>
  <rv s="0">
    <fb>87.96</fb>
    <v>1</v>
  </rv>
  <rv s="0">
    <fb>44837</fb>
    <v>0</v>
  </rv>
  <rv s="0">
    <fb>86.51</fb>
    <v>1</v>
  </rv>
  <rv s="0">
    <fb>88.86</fb>
    <v>1</v>
  </rv>
  <rv s="0">
    <fb>44838</fb>
    <v>0</v>
  </rv>
  <rv s="0">
    <fb>88.89</fb>
    <v>1</v>
  </rv>
  <rv s="0">
    <fb>92.39</fb>
    <v>1</v>
  </rv>
  <rv s="0">
    <fb>88.69</fb>
    <v>1</v>
  </rv>
  <rv s="0">
    <fb>91.8</fb>
    <v>1</v>
  </rv>
  <rv s="0">
    <fb>44839</fb>
    <v>0</v>
  </rv>
  <rv s="0">
    <fb>93.97</fb>
    <v>1</v>
  </rv>
  <rv s="0">
    <fb>90.9</fb>
    <v>1</v>
  </rv>
  <rv s="0">
    <fb>93.37</fb>
    <v>1</v>
  </rv>
  <rv s="0">
    <fb>44840</fb>
    <v>0</v>
  </rv>
  <rv s="0">
    <fb>93.83</fb>
    <v>1</v>
  </rv>
  <rv s="0">
    <fb>95.01</fb>
    <v>1</v>
  </rv>
  <rv s="0">
    <fb>92.73</fb>
    <v>1</v>
  </rv>
  <rv s="0">
    <fb>94.42</fb>
    <v>1</v>
  </rv>
  <rv s="0">
    <fb>44841</fb>
    <v>0</v>
  </rv>
  <rv s="0">
    <fb>94.99</fb>
    <v>1</v>
  </rv>
  <rv s="0">
    <fb>98.59</fb>
    <v>1</v>
  </rv>
  <rv s="0">
    <fb>93.93</fb>
    <v>1</v>
  </rv>
  <rv s="0">
    <fb>97.92</fb>
    <v>1</v>
  </rv>
  <rv s="0">
    <fb>44844</fb>
    <v>0</v>
  </rv>
  <rv s="0">
    <fb>98.7</fb>
    <v>1</v>
  </rv>
  <rv s="0">
    <fb>98.76</fb>
    <v>1</v>
  </rv>
  <rv s="0">
    <fb>95.62</fb>
    <v>1</v>
  </rv>
  <rv s="0">
    <fb>96.19</fb>
    <v>1</v>
  </rv>
  <rv s="0">
    <fb>44845</fb>
    <v>0</v>
  </rv>
  <rv s="0">
    <fb>96.15</fb>
    <v>1</v>
  </rv>
  <rv s="0">
    <fb>96.45</fb>
    <v>1</v>
  </rv>
  <rv s="0">
    <fb>93.11</fb>
    <v>1</v>
  </rv>
  <rv s="0">
    <fb>94.29</fb>
    <v>1</v>
  </rv>
  <rv s="0">
    <fb>44846</fb>
    <v>0</v>
  </rv>
  <rv s="0">
    <fb>93.69</fb>
    <v>1</v>
  </rv>
  <rv s="0">
    <fb>91.58</fb>
    <v>1</v>
  </rv>
  <rv s="0">
    <fb>92.45</fb>
    <v>1</v>
  </rv>
  <rv s="0">
    <fb>44847</fb>
    <v>0</v>
  </rv>
  <rv s="0">
    <fb>92.47</fb>
    <v>1</v>
  </rv>
  <rv s="0">
    <fb>94.9</fb>
    <v>1</v>
  </rv>
  <rv s="0">
    <fb>91.09</fb>
    <v>1</v>
  </rv>
  <rv s="0">
    <fb>94.57</fb>
    <v>1</v>
  </rv>
  <rv s="0">
    <fb>44848</fb>
    <v>0</v>
  </rv>
  <rv s="0">
    <fb>94.75</fb>
    <v>1</v>
  </rv>
  <rv s="0">
    <fb>95.11</fb>
    <v>1</v>
  </rv>
  <rv s="0">
    <fb>91.27</fb>
    <v>1</v>
  </rv>
  <rv s="0">
    <fb>91.63</fb>
    <v>1</v>
  </rv>
  <rv s="0">
    <fb>44851</fb>
    <v>0</v>
  </rv>
  <rv s="0">
    <fb>91.71</fb>
    <v>1</v>
  </rv>
  <rv s="0">
    <fb>93.23</fb>
    <v>1</v>
  </rv>
  <rv s="0">
    <fb>91.62</fb>
    <v>1</v>
  </rv>
  <rv s="0">
    <fb>44852</fb>
    <v>0</v>
  </rv>
  <rv s="0">
    <fb>92.02</fb>
    <v>1</v>
  </rv>
  <rv s="0">
    <fb>92.65</fb>
    <v>1</v>
  </rv>
  <rv s="0">
    <fb>88.77</fb>
    <v>1</v>
  </rv>
  <rv s="0">
    <fb>90.03</fb>
    <v>1</v>
  </rv>
  <rv s="0">
    <fb>44853</fb>
    <v>0</v>
  </rv>
  <rv s="0">
    <fb>90.79</fb>
    <v>1</v>
  </rv>
  <rv s="0">
    <fb>89.38</fb>
    <v>1</v>
  </rv>
  <rv s="0">
    <fb>92.41</fb>
    <v>1</v>
  </rv>
  <rv s="0">
    <fb>44854</fb>
    <v>0</v>
  </rv>
  <rv s="0">
    <fb>92.51</fb>
    <v>1</v>
  </rv>
  <rv s="0">
    <fb>94.77</fb>
    <v>1</v>
  </rv>
  <rv s="0">
    <fb>91.92</fb>
    <v>1</v>
  </rv>
  <rv s="0">
    <fb>92.38</fb>
    <v>1</v>
  </rv>
  <rv s="0">
    <fb>44855</fb>
    <v>0</v>
  </rv>
  <rv s="0">
    <fb>92.79</fb>
    <v>1</v>
  </rv>
  <rv s="0">
    <fb>93.8</fb>
    <v>1</v>
  </rv>
  <rv s="0">
    <fb>91.02</fb>
    <v>1</v>
  </rv>
  <rv s="0">
    <fb>93.5</fb>
    <v>1</v>
  </rv>
  <rv s="0">
    <fb>44858</fb>
    <v>0</v>
  </rv>
  <rv s="0">
    <fb>94.44</fb>
    <v>1</v>
  </rv>
  <rv s="0">
    <fb>93.26</fb>
    <v>1</v>
  </rv>
  <rv s="0">
    <fb>44859</fb>
    <v>0</v>
  </rv>
  <rv s="0">
    <fb>93.56</fb>
    <v>1</v>
  </rv>
  <rv s="0">
    <fb>94.37</fb>
    <v>1</v>
  </rv>
  <rv s="0">
    <fb>93.52</fb>
    <v>1</v>
  </rv>
  <rv s="0">
    <fb>44860</fb>
    <v>0</v>
  </rv>
  <rv s="0">
    <fb>93.25</fb>
    <v>1</v>
  </rv>
  <rv s="0">
    <fb>92.04</fb>
    <v>1</v>
  </rv>
  <rv s="0">
    <fb>95.69</fb>
    <v>1</v>
  </rv>
  <rv s="0">
    <fb>44861</fb>
    <v>0</v>
  </rv>
  <rv s="0">
    <fb>96.16</fb>
    <v>1</v>
  </rv>
  <rv s="0">
    <fb>97.28</fb>
    <v>1</v>
  </rv>
  <rv s="0">
    <fb>95.08</fb>
    <v>1</v>
  </rv>
  <rv s="0">
    <fb>96.96</fb>
    <v>1</v>
  </rv>
  <rv s="0">
    <fb>44862</fb>
    <v>0</v>
  </rv>
  <rv s="0">
    <fb>96.89</fb>
    <v>1</v>
  </rv>
  <rv s="0">
    <fb>95</fb>
    <v>1</v>
  </rv>
  <rv s="0">
    <fb>95.77</fb>
    <v>1</v>
  </rv>
  <rv s="0">
    <fb>44865</fb>
    <v>0</v>
  </rv>
  <rv s="0">
    <fb>96</fb>
    <v>1</v>
  </rv>
  <rv s="0">
    <fb>94.32</fb>
    <v>1</v>
  </rv>
  <rv s="0">
    <fb>94.83</fb>
    <v>1</v>
  </rv>
  <rv s="0">
    <fb>44866</fb>
    <v>0</v>
  </rv>
  <rv s="0">
    <fb>95.55</fb>
    <v>1</v>
  </rv>
  <rv s="0">
    <fb>44867</fb>
    <v>0</v>
  </rv>
  <rv s="0">
    <fb>94.67</fb>
    <v>1</v>
  </rv>
  <rv s="0">
    <fb>96.47</fb>
    <v>1</v>
  </rv>
  <rv s="0">
    <fb>93.99</fb>
    <v>1</v>
  </rv>
  <rv s="0">
    <fb>44868</fb>
    <v>0</v>
  </rv>
  <rv s="0">
    <fb>95.94</fb>
    <v>1</v>
  </rv>
  <rv s="0">
    <fb>94.16</fb>
    <v>1</v>
  </rv>
  <rv s="0">
    <fb>44869</fb>
    <v>0</v>
  </rv>
  <rv s="0">
    <fb>94.48</fb>
    <v>1</v>
  </rv>
  <rv s="0">
    <fb>98.82</fb>
    <v>1</v>
  </rv>
  <rv s="0">
    <fb>94.34</fb>
    <v>1</v>
  </rv>
  <rv s="0">
    <fb>98.57</fb>
    <v>1</v>
  </rv>
  <rv s="0">
    <fb>44872</fb>
    <v>0</v>
  </rv>
  <rv s="0">
    <fb>97.78</fb>
    <v>1</v>
  </rv>
  <rv s="0">
    <fb>99.56</fb>
    <v>1</v>
  </rv>
  <rv s="0">
    <fb>96.7</fb>
    <v>1</v>
  </rv>
  <rv s="0">
    <fb>44873</fb>
    <v>0</v>
  </rv>
  <rv s="0">
    <fb>98</fb>
    <v>1</v>
  </rv>
  <rv s="0">
    <fb>98.27</fb>
    <v>1</v>
  </rv>
  <rv s="0">
    <fb>94.98</fb>
    <v>1</v>
  </rv>
  <rv s="0">
    <fb>95.36</fb>
    <v>1</v>
  </rv>
  <rv s="0">
    <fb>44874</fb>
    <v>0</v>
  </rv>
  <rv s="0">
    <fb>44875</fb>
    <v>0</v>
  </rv>
  <rv s="0">
    <fb>92.54</fb>
    <v>1</v>
  </rv>
  <rv s="0">
    <fb>94.31</fb>
    <v>1</v>
  </rv>
  <rv s="0">
    <fb>91.69</fb>
    <v>1</v>
  </rv>
  <rv s="0">
    <fb>93.67</fb>
    <v>1</v>
  </rv>
  <rv s="0">
    <fb>44876</fb>
    <v>0</v>
  </rv>
  <rv s="0">
    <fb>93.27</fb>
    <v>1</v>
  </rv>
  <rv s="0">
    <fb>96.92</fb>
    <v>1</v>
  </rv>
  <rv s="0">
    <fb>95.99</fb>
    <v>1</v>
  </rv>
  <rv s="0">
    <fb>44879</fb>
    <v>0</v>
  </rv>
  <rv s="0">
    <fb>95.97</fb>
    <v>1</v>
  </rv>
  <rv s="0">
    <fb>92.49</fb>
    <v>1</v>
  </rv>
  <rv s="0">
    <fb>93.14</fb>
    <v>1</v>
  </rv>
  <rv s="0">
    <fb>44880</fb>
    <v>0</v>
  </rv>
  <rv s="0">
    <fb>92.53</fb>
    <v>1</v>
  </rv>
  <rv s="0">
    <fb>95.75</fb>
    <v>1</v>
  </rv>
  <rv s="0">
    <fb>91.53</fb>
    <v>1</v>
  </rv>
  <rv s="0">
    <fb>93.86</fb>
    <v>1</v>
  </rv>
  <rv s="0">
    <fb>44881</fb>
    <v>0</v>
  </rv>
  <rv s="0">
    <fb>93.76</fb>
    <v>1</v>
  </rv>
  <rv s="0">
    <fb>91.68</fb>
    <v>1</v>
  </rv>
  <rv s="0">
    <fb>92.86</fb>
    <v>1</v>
  </rv>
  <rv s="0">
    <fb>44882</fb>
    <v>0</v>
  </rv>
  <rv s="0">
    <fb>92.88</fb>
    <v>1</v>
  </rv>
  <rv s="0">
    <fb>89.54</fb>
    <v>1</v>
  </rv>
  <rv s="0">
    <fb>89.78</fb>
    <v>1</v>
  </rv>
  <rv s="0">
    <fb>44883</fb>
    <v>0</v>
  </rv>
  <rv s="0">
    <fb>89.98</fb>
    <v>1</v>
  </rv>
  <rv s="0">
    <fb>90.61</fb>
    <v>1</v>
  </rv>
  <rv s="0">
    <fb>85.79</fb>
    <v>1</v>
  </rv>
  <rv s="0">
    <fb>87.62</fb>
    <v>1</v>
  </rv>
  <rv s="0">
    <fb>44886</fb>
    <v>0</v>
  </rv>
  <rv s="0">
    <fb>87.8</fb>
    <v>1</v>
  </rv>
  <rv s="0">
    <fb>88.04</fb>
    <v>1</v>
  </rv>
  <rv s="0">
    <fb>82.32</fb>
    <v>1</v>
  </rv>
  <rv s="0">
    <fb>44887</fb>
    <v>0</v>
  </rv>
  <rv s="0">
    <fb>87.65</fb>
    <v>1</v>
  </rv>
  <rv s="0">
    <fb>89.88</fb>
    <v>1</v>
  </rv>
  <rv s="0">
    <fb>87.37</fb>
    <v>1</v>
  </rv>
  <rv s="0">
    <fb>88.36</fb>
    <v>1</v>
  </rv>
  <rv s="0">
    <fb>44888</fb>
    <v>0</v>
  </rv>
  <rv s="0">
    <fb>88.41</fb>
    <v>1</v>
  </rv>
  <rv s="0">
    <fb>84.12</fb>
    <v>1</v>
  </rv>
  <rv s="0">
    <fb>85.41</fb>
    <v>1</v>
  </rv>
  <rv s="0">
    <fb>44889</fb>
    <v>0</v>
  </rv>
  <rv s="0">
    <fb>44890</fb>
    <v>0</v>
  </rv>
  <rv s="0">
    <fb>84.94</fb>
    <v>1</v>
  </rv>
  <rv s="0">
    <fb>86.9</fb>
    <v>1</v>
  </rv>
  <rv s="0">
    <fb>83.56</fb>
    <v>1</v>
  </rv>
  <rv s="0">
    <fb>44893</fb>
    <v>0</v>
  </rv>
  <rv s="0">
    <fb>83.8</fb>
    <v>1</v>
  </rv>
  <rv s="0">
    <fb>84.05</fb>
    <v>1</v>
  </rv>
  <rv s="0">
    <fb>80.64</fb>
    <v>1</v>
  </rv>
  <rv s="0">
    <fb>83.19</fb>
    <v>1</v>
  </rv>
  <rv s="0">
    <fb>44894</fb>
    <v>0</v>
  </rv>
  <rv s="0">
    <fb>82.33</fb>
    <v>1</v>
  </rv>
  <rv s="0">
    <fb>86</fb>
    <v>1</v>
  </rv>
  <rv s="0">
    <fb>82.19</fb>
    <v>1</v>
  </rv>
  <rv s="0">
    <fb>83.03</fb>
    <v>1</v>
  </rv>
  <rv s="0">
    <fb>44895</fb>
    <v>0</v>
  </rv>
  <rv s="0">
    <fb>83.58</fb>
    <v>1</v>
  </rv>
  <rv s="0">
    <fb>85.82</fb>
    <v>1</v>
  </rv>
  <rv s="0">
    <fb>83.51</fb>
    <v>1</v>
  </rv>
  <rv s="0">
    <fb>85.43</fb>
    <v>1</v>
  </rv>
  <rv s="0">
    <fb>44896</fb>
    <v>0</v>
  </rv>
  <rv s="0">
    <fb>86.6</fb>
    <v>1</v>
  </rv>
  <rv s="0">
    <fb>89.41</fb>
    <v>1</v>
  </rv>
  <rv s="0">
    <fb>86.25</fb>
    <v>1</v>
  </rv>
  <rv s="0">
    <fb>86.88</fb>
    <v>1</v>
  </rv>
  <rv s="0">
    <fb>44897</fb>
    <v>0</v>
  </rv>
  <rv s="0">
    <fb>87.89</fb>
    <v>1</v>
  </rv>
  <rv s="0">
    <fb>85.19</fb>
    <v>1</v>
  </rv>
  <rv s="0">
    <fb>85.57</fb>
    <v>1</v>
  </rv>
  <rv s="0">
    <fb>44900</fb>
    <v>0</v>
  </rv>
  <rv s="0">
    <fb>85.52</fb>
    <v>1</v>
  </rv>
  <rv s="0">
    <fb>88.43</fb>
    <v>1</v>
  </rv>
  <rv s="0">
    <fb>82.54</fb>
    <v>1</v>
  </rv>
  <rv s="0">
    <fb>82.68</fb>
    <v>1</v>
  </rv>
  <rv s="0">
    <fb>44901</fb>
    <v>0</v>
  </rv>
  <rv s="0">
    <fb>83.09</fb>
    <v>1</v>
  </rv>
  <rv s="0">
    <fb>83.67</fb>
    <v>1</v>
  </rv>
  <rv s="0">
    <fb>78.709999999999994</fb>
    <v>1</v>
  </rv>
  <rv s="0">
    <fb>79.349999999999994</fb>
    <v>1</v>
  </rv>
  <rv s="0">
    <fb>44902</fb>
    <v>0</v>
  </rv>
  <rv s="0">
    <fb>79.790000000000006</fb>
    <v>1</v>
  </rv>
  <rv s="0">
    <fb>80.48</fb>
    <v>1</v>
  </rv>
  <rv s="0">
    <fb>76.94</fb>
    <v>1</v>
  </rv>
  <rv s="0">
    <fb>77.17</fb>
    <v>1</v>
  </rv>
  <rv s="0">
    <fb>44903</fb>
    <v>0</v>
  </rv>
  <rv s="0">
    <fb>77.489999999999995</fb>
    <v>1</v>
  </rv>
  <rv s="0">
    <fb>79.180000000000007</fb>
    <v>1</v>
  </rv>
  <rv s="0">
    <fb>75.760000000000005</fb>
    <v>1</v>
  </rv>
  <rv s="0">
    <fb>76.150000000000006</fb>
    <v>1</v>
  </rv>
  <rv s="0">
    <fb>44904</fb>
    <v>0</v>
  </rv>
  <rv s="0">
    <fb>76.73</fb>
    <v>1</v>
  </rv>
  <rv s="0">
    <fb>77.47</fb>
    <v>1</v>
  </rv>
  <rv s="0">
    <fb>75.11</fb>
    <v>1</v>
  </rv>
  <rv s="0">
    <fb>76.099999999999994</fb>
    <v>1</v>
  </rv>
  <rv s="0">
    <fb>44907</fb>
    <v>0</v>
  </rv>
  <rv s="0">
    <fb>76.67</fb>
    <v>1</v>
  </rv>
  <rv s="0">
    <fb>78.58</fb>
    <v>1</v>
  </rv>
  <rv s="0">
    <fb>75.260000000000005</fb>
    <v>1</v>
  </rv>
  <rv s="0">
    <fb>77.989999999999995</fb>
    <v>1</v>
  </rv>
  <rv s="0">
    <fb>44908</fb>
    <v>0</v>
  </rv>
  <rv s="0">
    <fb>78.19</fb>
    <v>1</v>
  </rv>
  <rv s="0">
    <fb>81.28</fb>
    <v>1</v>
  </rv>
  <rv s="0">
    <fb>78.040000000000006</fb>
    <v>1</v>
  </rv>
  <rv s="0">
    <fb>80.680000000000007</fb>
    <v>1</v>
  </rv>
  <rv s="0">
    <fb>44909</fb>
    <v>0</v>
  </rv>
  <rv s="0">
    <fb>80.34</fb>
    <v>1</v>
  </rv>
  <rv s="0">
    <fb>83.14</fb>
    <v>1</v>
  </rv>
  <rv s="0">
    <fb>80.13</fb>
    <v>1</v>
  </rv>
  <rv s="0">
    <fb>82.7</fb>
    <v>1</v>
  </rv>
  <rv s="0">
    <fb>44910</fb>
    <v>0</v>
  </rv>
  <rv s="0">
    <fb>82.84</fb>
    <v>1</v>
  </rv>
  <rv s="0">
    <fb>80.83</fb>
    <v>1</v>
  </rv>
  <rv s="0">
    <fb>81.209999999999994</fb>
    <v>1</v>
  </rv>
  <rv s="0">
    <fb>44911</fb>
    <v>0</v>
  </rv>
  <rv s="0">
    <fb>81.34</fb>
    <v>1</v>
  </rv>
  <rv s="0">
    <fb>81.760000000000005</fb>
    <v>1</v>
  </rv>
  <rv s="0">
    <fb>78.28</fb>
    <v>1</v>
  </rv>
  <rv s="0">
    <fb>79.040000000000006</fb>
    <v>1</v>
  </rv>
  <rv s="0">
    <fb>44914</fb>
    <v>0</v>
  </rv>
  <rv s="0">
    <fb>79.09</fb>
    <v>1</v>
  </rv>
  <rv s="0">
    <fb>80.89</fb>
    <v>1</v>
  </rv>
  <rv s="0">
    <fb>78.63</fb>
    <v>1</v>
  </rv>
  <rv s="0">
    <fb>79.8</fb>
    <v>1</v>
  </rv>
  <rv s="0">
    <fb>44915</fb>
    <v>0</v>
  </rv>
  <rv s="0">
    <fb>80.28</fb>
    <v>1</v>
  </rv>
  <rv s="0">
    <fb>80.900000000000006</fb>
    <v>1</v>
  </rv>
  <rv s="0">
    <fb>78.3</fb>
    <v>1</v>
  </rv>
  <rv s="0">
    <fb>79.989999999999995</fb>
    <v>1</v>
  </rv>
  <rv s="0">
    <fb>44916</fb>
    <v>0</v>
  </rv>
  <rv s="0">
    <fb>79.95</fb>
    <v>1</v>
  </rv>
  <rv s="0">
    <fb>79.599999999999994</fb>
    <v>1</v>
  </rv>
  <rv s="0">
    <fb>82.2</fb>
    <v>1</v>
  </rv>
  <rv s="0">
    <fb>44917</fb>
    <v>0</v>
  </rv>
  <rv s="0">
    <fb>82.37</fb>
    <v>1</v>
  </rv>
  <rv s="0">
    <fb>83.86</fb>
    <v>1</v>
  </rv>
  <rv s="0">
    <fb>80.98</fb>
    <v>1</v>
  </rv>
  <rv s="0">
    <fb>44918</fb>
    <v>0</v>
  </rv>
  <rv s="0">
    <fb>81.73</fb>
    <v>1</v>
  </rv>
  <rv s="0">
    <fb>84.37</fb>
    <v>1</v>
  </rv>
  <rv s="0">
    <fb>83.92</fb>
    <v>1</v>
  </rv>
  <rv s="0">
    <fb>44921</fb>
    <v>0</v>
  </rv>
  <rv s="0">
    <fb>44922</fb>
    <v>0</v>
  </rv>
  <rv s="0">
    <fb>84.46</fb>
    <v>1</v>
  </rv>
  <rv s="0">
    <fb>85.67</fb>
    <v>1</v>
  </rv>
  <rv s="0">
    <fb>83.66</fb>
    <v>1</v>
  </rv>
  <rv s="0">
    <fb>84.33</fb>
    <v>1</v>
  </rv>
  <rv s="0">
    <fb>44923</fb>
    <v>0</v>
  </rv>
  <rv s="0">
    <fb>84.6</fb>
    <v>1</v>
  </rv>
  <rv s="0">
    <fb>84.64</fb>
    <v>1</v>
  </rv>
  <rv s="0">
    <fb>81.95</fb>
    <v>1</v>
  </rv>
  <rv s="0">
    <fb>83.26</fb>
    <v>1</v>
  </rv>
  <rv s="0">
    <fb>44924</fb>
    <v>0</v>
  </rv>
  <rv s="0">
    <fb>82.86</fb>
    <v>1</v>
  </rv>
  <rv s="0">
    <fb>82.91</fb>
    <v>1</v>
  </rv>
  <rv s="0">
    <fb>81.3</fb>
    <v>1</v>
  </rv>
  <rv s="0">
    <fb>82.26</fb>
    <v>1</v>
  </rv>
  <rv s="0">
    <fb>44925</fb>
    <v>0</v>
  </rv>
  <rv s="0">
    <fb>86.28</fb>
    <v>1</v>
  </rv>
  <rv s="0">
    <fb>82.88</fb>
    <v>1</v>
  </rv>
  <rv s="0">
    <fb>85.91</fb>
    <v>1</v>
  </rv>
  <rv s="0">
    <fb>44928</fb>
    <v>0</v>
  </rv>
  <rv s="0">
    <fb>44929</fb>
    <v>0</v>
  </rv>
  <rv s="0">
    <fb>86.04</fb>
    <v>1</v>
  </rv>
  <rv s="0">
    <fb>87.02</fb>
    <v>1</v>
  </rv>
  <rv s="0">
    <fb>81.77</fb>
    <v>1</v>
  </rv>
  <rv s="0">
    <fb>82.1</fb>
    <v>1</v>
  </rv>
  <rv s="0">
    <fb>44930</fb>
    <v>0</v>
  </rv>
  <rv s="0">
    <fb>82.23</fb>
    <v>1</v>
  </rv>
  <rv s="0">
    <fb>82.67</fb>
    <v>1</v>
  </rv>
  <rv s="0">
    <fb>77.72</fb>
    <v>1</v>
  </rv>
  <rv s="0">
    <fb>77.84</fb>
    <v>1</v>
  </rv>
  <rv s="0">
    <fb>44931</fb>
    <v>0</v>
  </rv>
  <rv s="0">
    <fb>78.09</fb>
    <v>1</v>
  </rv>
  <rv s="0">
    <fb>79.959999999999994</fb>
    <v>1</v>
  </rv>
  <rv s="0">
    <fb>77.61</fb>
    <v>1</v>
  </rv>
  <rv s="0">
    <fb>78.69</fb>
    <v>1</v>
  </rv>
  <rv s="0">
    <fb>44932</fb>
    <v>0</v>
  </rv>
  <rv s="0">
    <fb>78.81</fb>
    <v>1</v>
  </rv>
  <rv s="0">
    <fb>80.569999999999993</fb>
    <v>1</v>
  </rv>
  <rv s="0">
    <fb>78.05</fb>
    <v>1</v>
  </rv>
  <rv s="0">
    <fb>78.569999999999993</fb>
    <v>1</v>
  </rv>
  <rv s="0">
    <fb>44935</fb>
    <v>0</v>
  </rv>
  <rv s="0">
    <fb>78.48</fb>
    <v>1</v>
  </rv>
  <rv s="0">
    <fb>81.37</fb>
    <v>1</v>
  </rv>
  <rv s="0">
    <fb>78.34</fb>
    <v>1</v>
  </rv>
  <rv s="0">
    <fb>79.650000000000006</fb>
    <v>1</v>
  </rv>
  <rv s="0">
    <fb>44936</fb>
    <v>0</v>
  </rv>
  <rv s="0">
    <fb>79.709999999999994</fb>
    <v>1</v>
  </rv>
  <rv s="0">
    <fb>80.88</fb>
    <v>1</v>
  </rv>
  <rv s="0">
    <fb>80.099999999999994</fb>
    <v>1</v>
  </rv>
  <rv s="0">
    <fb>44937</fb>
    <v>0</v>
  </rv>
  <rv s="0">
    <fb>79.59</fb>
    <v>1</v>
  </rv>
  <rv s="0">
    <fb>82.97</fb>
    <v>1</v>
  </rv>
  <rv s="0">
    <fb>79.3</fb>
    <v>1</v>
  </rv>
  <rv s="0">
    <fb>44938</fb>
    <v>0</v>
  </rv>
  <rv s="0">
    <fb>84.61</fb>
    <v>1</v>
  </rv>
  <rv s="0">
    <fb>82.38</fb>
    <v>1</v>
  </rv>
  <rv s="0">
    <fb>84.03</fb>
    <v>1</v>
  </rv>
  <rv s="0">
    <fb>44939</fb>
    <v>0</v>
  </rv>
  <rv s="0">
    <fb>83.95</fb>
    <v>1</v>
  </rv>
  <rv s="0">
    <fb>85.49</fb>
    <v>1</v>
  </rv>
  <rv s="0">
    <fb>83.49</fb>
    <v>1</v>
  </rv>
  <rv s="0">
    <fb>85.28</fb>
    <v>1</v>
  </rv>
  <rv s="0">
    <fb>44942</fb>
    <v>0</v>
  </rv>
  <rv s="0">
    <fb>44943</fb>
    <v>0</v>
  </rv>
  <rv s="0">
    <fb>85.44</fb>
    <v>1</v>
  </rv>
  <rv s="0">
    <fb>86.82</fb>
    <v>1</v>
  </rv>
  <rv s="0">
    <fb>85.92</fb>
    <v>1</v>
  </rv>
  <rv s="0">
    <fb>44944</fb>
    <v>0</v>
  </rv>
  <rv s="0">
    <fb>87.84</fb>
    <v>1</v>
  </rv>
  <rv s="0">
    <fb>84.4</fb>
    <v>1</v>
  </rv>
  <rv s="0">
    <fb>84.98</fb>
    <v>1</v>
  </rv>
  <rv s="0">
    <fb>44945</fb>
    <v>0</v>
  </rv>
  <rv s="0">
    <fb>84.59</fb>
    <v>1</v>
  </rv>
  <rv s="0">
    <fb>86.85</fb>
    <v>1</v>
  </rv>
  <rv s="0">
    <fb>83.74</fb>
    <v>1</v>
  </rv>
  <rv s="0">
    <fb>86.16</fb>
    <v>1</v>
  </rv>
  <rv s="0">
    <fb>44946</fb>
    <v>0</v>
  </rv>
  <rv s="0">
    <fb>86.36</fb>
    <v>1</v>
  </rv>
  <rv s="0">
    <fb>87.77</fb>
    <v>1</v>
  </rv>
  <rv s="0">
    <fb>85.58</fb>
    <v>1</v>
  </rv>
  <rv s="0">
    <fb>87.63</fb>
    <v>1</v>
  </rv>
  <rv s="0">
    <fb>44949</fb>
    <v>0</v>
  </rv>
  <rv s="0">
    <fb>87.81</fb>
    <v>1</v>
  </rv>
  <rv s="0">
    <fb>89.1</fb>
    <v>1</v>
  </rv>
  <rv s="0">
    <fb>86.93</fb>
    <v>1</v>
  </rv>
  <rv s="0">
    <fb>88.19</fb>
    <v>1</v>
  </rv>
  <rv s="0">
    <fb>44950</fb>
    <v>0</v>
  </rv>
  <rv s="0">
    <fb>88.03</fb>
    <v>1</v>
  </rv>
  <rv s="0">
    <fb>88.71</fb>
    <v>1</v>
  </rv>
  <rv s="0">
    <fb>85.81</fb>
    <v>1</v>
  </rv>
  <rv s="0">
    <fb>86.13</fb>
    <v>1</v>
  </rv>
  <rv s="0">
    <fb>44951</fb>
    <v>0</v>
  </rv>
  <rv s="0">
    <fb>86.3</fb>
    <v>1</v>
  </rv>
  <rv s="0">
    <fb>87.01</fb>
    <v>1</v>
  </rv>
  <rv s="0">
    <fb>86.12</fb>
    <v>1</v>
  </rv>
  <rv s="0">
    <fb>44952</fb>
    <v>0</v>
  </rv>
  <rv s="0">
    <fb>88.01</fb>
    <v>1</v>
  </rv>
  <rv s="0">
    <fb>85.78</fb>
    <v>1</v>
  </rv>
  <rv s="0">
    <fb>87.47</fb>
    <v>1</v>
  </rv>
  <rv s="0">
    <fb>44953</fb>
    <v>0</v>
  </rv>
  <rv s="0">
    <fb>87.6</fb>
    <v>1</v>
  </rv>
  <rv s="0">
    <fb>88.91</fb>
    <v>1</v>
  </rv>
  <rv s="0">
    <fb>85.68</fb>
    <v>1</v>
  </rv>
  <rv s="0">
    <fb>86.66</fb>
    <v>1</v>
  </rv>
  <rv s="0">
    <fb>44956</fb>
    <v>0</v>
  </rv>
  <rv s="0">
    <fb>86.8</fb>
    <v>1</v>
  </rv>
  <rv s="0">
    <fb>84.75</fb>
    <v>1</v>
  </rv>
  <rv s="0">
    <fb>84.9</fb>
    <v>1</v>
  </rv>
  <rv s="0">
    <fb>44957</fb>
    <v>0</v>
  </rv>
  <rv s="0">
    <fb>85.16</fb>
    <v>1</v>
  </rv>
  <rv s="0">
    <fb>83.69</fb>
    <v>1</v>
  </rv>
  <rv s="0">
    <fb>84.49</fb>
    <v>1</v>
  </rv>
  <rv s="0">
    <fb>44958</fb>
    <v>0</v>
  </rv>
  <rv s="0">
    <fb>86.2</fb>
    <v>1</v>
  </rv>
  <rv s="0">
    <fb>44959</fb>
    <v>0</v>
  </rv>
  <rv s="0">
    <fb>83.6</fb>
    <v>1</v>
  </rv>
  <rv s="0">
    <fb>81.239999999999995</fb>
    <v>1</v>
  </rv>
  <rv s="0">
    <fb>82.17</fb>
    <v>1</v>
  </rv>
  <rv s="0">
    <fb>44960</fb>
    <v>0</v>
  </rv>
  <rv s="0">
    <fb>82.15</fb>
    <v>1</v>
  </rv>
  <rv s="0">
    <fb>84.19</fb>
    <v>1</v>
  </rv>
  <rv s="0">
    <fb>79.62</fb>
    <v>1</v>
  </rv>
  <rv s="0">
    <fb>79.94</fb>
    <v>1</v>
  </rv>
  <rv s="0">
    <fb>44963</fb>
    <v>0</v>
  </rv>
  <rv s="0">
    <fb>79.75</fb>
    <v>1</v>
  </rv>
  <rv s="0">
    <fb>81.400000000000006</fb>
    <v>1</v>
  </rv>
  <rv s="0">
    <fb>80.989999999999995</fb>
    <v>1</v>
  </rv>
  <rv s="0">
    <fb>44964</fb>
    <v>0</v>
  </rv>
  <rv s="0">
    <fb>84.1</fb>
    <v>1</v>
  </rv>
  <rv s="0">
    <fb>81.180000000000007</fb>
    <v>1</v>
  </rv>
  <rv s="0">
    <fb>44965</fb>
    <v>0</v>
  </rv>
  <rv s="0">
    <fb>83.5</fb>
    <v>1</v>
  </rv>
  <rv s="0">
    <fb>85.09</fb>
    <v>1</v>
  </rv>
  <rv s="0">
    <fb>44966</fb>
    <v>0</v>
  </rv>
  <rv s="0">
    <fb>85.07</fb>
    <v>1</v>
  </rv>
  <rv s="0">
    <fb>85.5</fb>
    <v>1</v>
  </rv>
  <rv s="0">
    <fb>83.06</fb>
    <v>1</v>
  </rv>
  <rv s="0">
    <fb>84.5</fb>
    <v>1</v>
  </rv>
  <rv s="0">
    <fb>44967</fb>
    <v>0</v>
  </rv>
  <rv s="0">
    <fb>84.23</fb>
    <v>1</v>
  </rv>
  <rv s="0">
    <fb>86.91</fb>
    <v>1</v>
  </rv>
  <rv s="0">
    <fb>83.94</fb>
    <v>1</v>
  </rv>
  <rv s="0">
    <fb>86.39</fb>
    <v>1</v>
  </rv>
  <rv s="0">
    <fb>44970</fb>
    <v>0</v>
  </rv>
  <rv s="0">
    <fb>86.95</fb>
    <v>1</v>
  </rv>
  <rv s="0">
    <fb>86.61</fb>
    <v>1</v>
  </rv>
  <rv s="0">
    <fb>44971</fb>
    <v>0</v>
  </rv>
  <rv s="0">
    <fb>85.75</fb>
    <v>1</v>
  </rv>
  <rv s="0">
    <fb>86.4</fb>
    <v>1</v>
  </rv>
  <rv s="0">
    <fb>44972</fb>
    <v>0</v>
  </rv>
  <rv s="0">
    <fb>85.29</fb>
    <v>1</v>
  </rv>
  <rv s="0">
    <fb>85.85</fb>
    <v>1</v>
  </rv>
  <rv s="0">
    <fb>83.9</fb>
    <v>1</v>
  </rv>
  <rv s="0">
    <fb>85.38</fb>
    <v>1</v>
  </rv>
  <rv s="0">
    <fb>44973</fb>
    <v>0</v>
  </rv>
  <rv s="0">
    <fb>85.14</fb>
    <v>1</v>
  </rv>
  <rv s="0">
    <fb>44974</fb>
    <v>0</v>
  </rv>
  <rv s="0">
    <fb>84.67</fb>
    <v>1</v>
  </rv>
  <rv s="0">
    <fb>84.85</fb>
    <v>1</v>
  </rv>
  <rv s="0">
    <fb>81.790000000000006</fb>
    <v>1</v>
  </rv>
  <rv s="0">
    <fb>83</fb>
    <v>1</v>
  </rv>
  <rv s="0">
    <fb>44977</fb>
    <v>0</v>
  </rv>
  <rv s="0">
    <fb>44978</fb>
    <v>0</v>
  </rv>
  <rv s="0">
    <fb>83.01</fb>
    <v>1</v>
  </rv>
  <rv s="0">
    <fb>84.29</fb>
    <v>1</v>
  </rv>
  <rv s="0">
    <fb>83.05</fb>
    <v>1</v>
  </rv>
  <rv s="0">
    <fb>44979</fb>
    <v>0</v>
  </rv>
  <rv s="0">
    <fb>82.74</fb>
    <v>1</v>
  </rv>
  <rv s="0">
    <fb>83.23</fb>
    <v>1</v>
  </rv>
  <rv s="0">
    <fb>80.400000000000006</fb>
    <v>1</v>
  </rv>
  <rv s="0">
    <fb>80.599999999999994</fb>
    <v>1</v>
  </rv>
  <rv s="0">
    <fb>44980</fb>
    <v>0</v>
  </rv>
  <rv s="0">
    <fb>80.47</fb>
    <v>1</v>
  </rv>
  <rv s="0">
    <fb>82.75</fb>
    <v>1</v>
  </rv>
  <rv s="0">
    <fb>82.21</fb>
    <v>1</v>
  </rv>
  <rv s="0">
    <fb>44981</fb>
    <v>0</v>
  </rv>
  <rv s="0">
    <fb>82.35</fb>
    <v>1</v>
  </rv>
  <rv s="0">
    <fb>83.38</fb>
    <v>1</v>
  </rv>
  <rv s="0">
    <fb>81.069999999999993</fb>
    <v>1</v>
  </rv>
  <rv s="0">
    <fb>83.16</fb>
    <v>1</v>
  </rv>
  <rv s="0">
    <fb>44984</fb>
    <v>0</v>
  </rv>
  <rv s="0">
    <fb>83.12</fb>
    <v>1</v>
  </rv>
  <rv s="0">
    <fb>81.739999999999995</fb>
    <v>1</v>
  </rv>
  <rv s="0">
    <fb>82.45</fb>
    <v>1</v>
  </rv>
  <rv s="0">
    <fb>44985</fb>
    <v>0</v>
  </rv>
  <rv s="0">
    <fb>82.64</fb>
    <v>1</v>
  </rv>
  <rv s="0">
    <fb>82.61</fb>
    <v>1</v>
  </rv>
  <rv s="0">
    <fb>83.89</fb>
    <v>1</v>
  </rv>
  <rv s="0">
    <fb>44986</fb>
    <v>0</v>
  </rv>
  <rv s="0">
    <fb>83.1</fb>
    <v>1</v>
  </rv>
  <rv s="0">
    <fb>84.31</fb>
    <v>1</v>
  </rv>
  <rv s="0">
    <fb>44987</fb>
    <v>0</v>
  </rv>
  <rv s="0">
    <fb>83.84</fb>
    <v>1</v>
  </rv>
  <rv s="0">
    <fb>44988</fb>
    <v>0</v>
  </rv>
  <rv s="0">
    <fb>84.41</fb>
    <v>1</v>
  </rv>
  <rv s="0">
    <fb>82.36</fb>
    <v>1</v>
  </rv>
  <rv s="0">
    <fb>44991</fb>
    <v>0</v>
  </rv>
  <rv s="0">
    <fb>85.93</fb>
    <v>1</v>
  </rv>
  <rv s="0">
    <fb>84.35</fb>
    <v>1</v>
  </rv>
  <rv s="0">
    <fb>86.18</fb>
    <v>1</v>
  </rv>
  <rv s="0">
    <fb>44992</fb>
    <v>0</v>
  </rv>
  <rv s="0">
    <fb>86.23</fb>
    <v>1</v>
  </rv>
  <rv s="0">
    <fb>86.76</fb>
    <v>1</v>
  </rv>
  <rv s="0">
    <fb>82.65</fb>
    <v>1</v>
  </rv>
  <rv s="0">
    <fb>83.29</fb>
    <v>1</v>
  </rv>
  <rv s="0">
    <fb>44993</fb>
    <v>0</v>
  </rv>
  <rv s="0">
    <fb>82.98</fb>
    <v>1</v>
  </rv>
  <rv s="0">
    <fb>83.59</fb>
    <v>1</v>
  </rv>
  <rv s="0">
    <fb>82.05</fb>
    <v>1</v>
  </rv>
  <rv s="0">
    <fb>82.66</fb>
    <v>1</v>
  </rv>
  <rv s="0">
    <fb>44994</fb>
    <v>0</v>
  </rv>
  <rv s="0">
    <fb>82.62</fb>
    <v>1</v>
  </rv>
  <rv s="0">
    <fb>84.01</fb>
    <v>1</v>
  </rv>
  <rv s="0">
    <fb>81.41</fb>
    <v>1</v>
  </rv>
  <rv s="0">
    <fb>81.59</fb>
    <v>1</v>
  </rv>
  <rv s="0">
    <fb>44995</fb>
    <v>0</v>
  </rv>
  <rv s="0">
    <fb>81.47</fb>
    <v>1</v>
  </rv>
  <rv s="0">
    <fb>83.08</fb>
    <v>1</v>
  </rv>
  <rv s="0">
    <fb>80.73</fb>
    <v>1</v>
  </rv>
  <rv s="0">
    <fb>82.78</fb>
    <v>1</v>
  </rv>
  <rv s="0">
    <fb>44998</fb>
    <v>0</v>
  </rv>
  <rv s="0">
    <fb>83.47</fb>
    <v>1</v>
  </rv>
  <rv s="0">
    <fb>80.77</fb>
    <v>1</v>
  </rv>
  <rv s="0">
    <fb>44999</fb>
    <v>0</v>
  </rv>
  <rv s="0">
    <fb>80.69</fb>
    <v>1</v>
  </rv>
  <rv s="0">
    <fb>76.88</fb>
    <v>1</v>
  </rv>
  <rv s="0">
    <fb>77.45</fb>
    <v>1</v>
  </rv>
  <rv s="0">
    <fb>45000</fb>
    <v>0</v>
  </rv>
  <rv s="0">
    <fb>77.569999999999993</fb>
    <v>1</v>
  </rv>
  <rv s="0">
    <fb>71.63</fb>
    <v>1</v>
  </rv>
  <rv s="0">
    <fb>73.69</fb>
    <v>1</v>
  </rv>
  <rv s="0">
    <fb>45001</fb>
    <v>0</v>
  </rv>
  <rv s="0">
    <fb>74.349999999999994</fb>
    <v>1</v>
  </rv>
  <rv s="0">
    <fb>75.52</fb>
    <v>1</v>
  </rv>
  <rv s="0">
    <fb>71.86</fb>
    <v>1</v>
  </rv>
  <rv s="0">
    <fb>74.7</fb>
    <v>1</v>
  </rv>
  <rv s="0">
    <fb>45002</fb>
    <v>0</v>
  </rv>
  <rv s="0">
    <fb>74.55</fb>
    <v>1</v>
  </rv>
  <rv s="0">
    <fb>75.900000000000006</fb>
    <v>1</v>
  </rv>
  <rv s="0">
    <fb>71.349999999999994</fb>
    <v>1</v>
  </rv>
  <rv s="0">
    <fb>72.97</fb>
    <v>1</v>
  </rv>
  <rv s="0">
    <fb>45005</fb>
    <v>0</v>
  </rv>
  <rv s="0">
    <fb>72.89</fb>
    <v>1</v>
  </rv>
  <rv s="0">
    <fb>73.849999999999994</fb>
    <v>1</v>
  </rv>
  <rv s="0">
    <fb>70.13</fb>
    <v>1</v>
  </rv>
  <rv s="0">
    <fb>73.790000000000006</fb>
    <v>1</v>
  </rv>
  <rv s="0">
    <fb>45006</fb>
    <v>0</v>
  </rv>
  <rv s="0">
    <fb>73.739999999999995</fb>
    <v>1</v>
  </rv>
  <rv s="0">
    <fb>75.400000000000006</fb>
    <v>1</v>
  </rv>
  <rv s="0">
    <fb>72.81</fb>
    <v>1</v>
  </rv>
  <rv s="0">
    <fb>75.319999999999993</fb>
    <v>1</v>
  </rv>
  <rv s="0">
    <fb>45007</fb>
    <v>0</v>
  </rv>
  <rv s="0">
    <fb>75.09</fb>
    <v>1</v>
  </rv>
  <rv s="0">
    <fb>77.09</fb>
    <v>1</v>
  </rv>
  <rv s="0">
    <fb>74.52</fb>
    <v>1</v>
  </rv>
  <rv s="0">
    <fb>76.69</fb>
    <v>1</v>
  </rv>
  <rv s="0">
    <fb>45008</fb>
    <v>0</v>
  </rv>
  <rv s="0">
    <fb>75.739999999999995</fb>
    <v>1</v>
  </rv>
  <rv s="0">
    <fb>77.430000000000007</fb>
    <v>1</v>
  </rv>
  <rv s="0">
    <fb>75.12</fb>
    <v>1</v>
  </rv>
  <rv s="0">
    <fb>75.91</fb>
    <v>1</v>
  </rv>
  <rv s="0">
    <fb>45009</fb>
    <v>0</v>
  </rv>
  <rv s="0">
    <fb>75.42</fb>
    <v>1</v>
  </rv>
  <rv s="0">
    <fb>76.28</fb>
    <v>1</v>
  </rv>
  <rv s="0">
    <fb>72.69</fb>
    <v>1</v>
  </rv>
  <rv s="0">
    <fb>74.989999999999995</fb>
    <v>1</v>
  </rv>
  <rv s="0">
    <fb>45012</fb>
    <v>0</v>
  </rv>
  <rv s="0">
    <fb>75.239999999999995</fb>
    <v>1</v>
  </rv>
  <rv s="0">
    <fb>78.430000000000007</fb>
    <v>1</v>
  </rv>
  <rv s="0">
    <fb>74.8</fb>
    <v>1</v>
  </rv>
  <rv s="0">
    <fb>78.12</fb>
    <v>1</v>
  </rv>
  <rv s="0">
    <fb>45013</fb>
    <v>0</v>
  </rv>
  <rv s="0">
    <fb>78.180000000000007</fb>
    <v>1</v>
  </rv>
  <rv s="0">
    <fb>79.209999999999994</fb>
    <v>1</v>
  </rv>
  <rv s="0">
    <fb>77.55</fb>
    <v>1</v>
  </rv>
  <rv s="0">
    <fb>78.650000000000006</fb>
    <v>1</v>
  </rv>
  <rv s="0">
    <fb>45014</fb>
    <v>0</v>
  </rv>
  <rv s="0">
    <fb>79.02</fb>
    <v>1</v>
  </rv>
  <rv s="0">
    <fb>79.7</fb>
    <v>1</v>
  </rv>
  <rv s="0">
    <fb>77.95</fb>
    <v>1</v>
  </rv>
  <rv s="0">
    <fb>45015</fb>
    <v>0</v>
  </rv>
  <rv s="0">
    <fb>78.22</fb>
    <v>1</v>
  </rv>
  <rv s="0">
    <fb>79.55</fb>
    <v>1</v>
  </rv>
  <rv s="0">
    <fb>77.849999999999994</fb>
    <v>1</v>
  </rv>
  <rv s="0">
    <fb>79.27</fb>
    <v>1</v>
  </rv>
  <rv s="0">
    <fb>45016</fb>
    <v>0</v>
  </rv>
  <rv s="0">
    <fb>79.28</fb>
    <v>1</v>
  </rv>
  <rv s="0">
    <fb>79.77</fb>
    <v>1</v>
  </rv>
  <rv s="0">
    <fb>79.069999999999993</fb>
    <v>1</v>
  </rv>
  <rv s="0">
    <fb>45019</fb>
    <v>0</v>
  </rv>
  <rv s="0">
    <fb>86.24</fb>
    <v>1</v>
  </rv>
  <rv s="0">
    <fb>84.93</fb>
    <v>1</v>
  </rv>
  <rv s="0">
    <fb>45020</fb>
    <v>0</v>
  </rv>
  <rv s="0">
    <fb>84.78</fb>
    <v>1</v>
  </rv>
  <rv s="0">
    <fb>86.05</fb>
    <v>1</v>
  </rv>
  <rv s="0">
    <fb>83.87</fb>
    <v>1</v>
  </rv>
  <rv s="0">
    <fb>45021</fb>
    <v>0</v>
  </rv>
  <rv s="0">
    <fb>85.1</fb>
    <v>1</v>
  </rv>
  <rv s="0">
    <fb>85.55</fb>
    <v>1</v>
  </rv>
  <rv s="0">
    <fb>84.99</fb>
    <v>1</v>
  </rv>
  <rv s="0">
    <fb>45022</fb>
    <v>0</v>
  </rv>
  <rv s="0">
    <fb>84.83</fb>
    <v>1</v>
  </rv>
  <rv s="0">
    <fb>85.12</fb>
    <v>1</v>
  </rv>
  <rv s="0">
    <fb>45023</fb>
    <v>0</v>
  </rv>
  <rv s="0">
    <fb>45026</fb>
    <v>0</v>
  </rv>
  <rv s="0">
    <fb>84.95</fb>
    <v>1</v>
  </rv>
  <rv s="0">
    <fb>85.64</fb>
    <v>1</v>
  </rv>
  <rv s="0">
    <fb>84.08</fb>
    <v>1</v>
  </rv>
  <rv s="0">
    <fb>84.18</fb>
    <v>1</v>
  </rv>
  <rv s="0">
    <fb>45027</fb>
    <v>0</v>
  </rv>
  <rv s="0">
    <fb>84.28</fb>
    <v>1</v>
  </rv>
  <rv s="0">
    <fb>83.75</fb>
    <v>1</v>
  </rv>
  <rv s="0">
    <fb>85.61</fb>
    <v>1</v>
  </rv>
  <rv s="0">
    <fb>45028</fb>
    <v>0</v>
  </rv>
  <rv s="0">
    <fb>87.49</fb>
    <v>1</v>
  </rv>
  <rv s="0">
    <fb>87.33</fb>
    <v>1</v>
  </rv>
  <rv s="0">
    <fb>45029</fb>
    <v>0</v>
  </rv>
  <rv s="0">
    <fb>87.15</fb>
    <v>1</v>
  </rv>
  <rv s="0">
    <fb>86.06</fb>
    <v>1</v>
  </rv>
  <rv s="0">
    <fb>86.09</fb>
    <v>1</v>
  </rv>
  <rv s="0">
    <fb>45030</fb>
    <v>0</v>
  </rv>
  <rv s="0">
    <fb>86.34</fb>
    <v>1</v>
  </rv>
  <rv s="0">
    <fb>86.86</fb>
    <v>1</v>
  </rv>
  <rv s="0">
    <fb>85.54</fb>
    <v>1</v>
  </rv>
  <rv s="0">
    <fb>86.31</fb>
    <v>1</v>
  </rv>
  <rv s="0">
    <fb>45033</fb>
    <v>0</v>
  </rv>
  <rv s="0">
    <fb>84.76</fb>
    <v>1</v>
  </rv>
  <rv s="0">
    <fb>45034</fb>
    <v>0</v>
  </rv>
  <rv s="0">
    <fb>84.82</fb>
    <v>1</v>
  </rv>
  <rv s="0">
    <fb>85.4</fb>
    <v>1</v>
  </rv>
  <rv s="0">
    <fb>83.82</fb>
    <v>1</v>
  </rv>
  <rv s="0">
    <fb>84.77</fb>
    <v>1</v>
  </rv>
  <rv s="0">
    <fb>45035</fb>
    <v>0</v>
  </rv>
  <rv s="0">
    <fb>84.86</fb>
    <v>1</v>
  </rv>
  <rv s="0">
    <fb>85.15</fb>
    <v>1</v>
  </rv>
  <rv s="0">
    <fb>82.41</fb>
    <v>1</v>
  </rv>
  <rv s="0">
    <fb>45036</fb>
    <v>0</v>
  </rv>
  <rv s="0">
    <fb>83.04</fb>
    <v>1</v>
  </rv>
  <rv s="0">
    <fb>81.099999999999994</fb>
    <v>1</v>
  </rv>
  <rv s="0">
    <fb>45037</fb>
    <v>0</v>
  </rv>
  <rv s="0">
    <fb>82.04</fb>
    <v>1</v>
  </rv>
  <rv s="0">
    <fb>80.45</fb>
    <v>1</v>
  </rv>
  <rv s="0">
    <fb>81.66</fb>
    <v>1</v>
  </rv>
  <rv s="0">
    <fb>45040</fb>
    <v>0</v>
  </rv>
  <rv s="0">
    <fb>81.599999999999994</fb>
    <v>1</v>
  </rv>
  <rv s="0">
    <fb>82.99</fb>
    <v>1</v>
  </rv>
  <rv s="0">
    <fb>80.489999999999995</fb>
    <v>1</v>
  </rv>
  <rv s="0">
    <fb>82.73</fb>
    <v>1</v>
  </rv>
  <rv s="0">
    <fb>45041</fb>
    <v>0</v>
  </rv>
  <rv s="0">
    <fb>82.58</fb>
    <v>1</v>
  </rv>
  <rv s="0">
    <fb>80.349999999999994</fb>
    <v>1</v>
  </rv>
  <rv s="0">
    <fb>45042</fb>
    <v>0</v>
  </rv>
  <rv s="0">
    <fb>81</fb>
    <v>1</v>
  </rv>
  <rv s="0">
    <fb>77.48</fb>
    <v>1</v>
  </rv>
  <rv s="0">
    <fb>77.69</fb>
    <v>1</v>
  </rv>
  <rv s="0">
    <fb>45043</fb>
    <v>0</v>
  </rv>
  <rv s="0">
    <fb>77.87</fb>
    <v>1</v>
  </rv>
  <rv s="0">
    <fb>77.39</fb>
    <v>1</v>
  </rv>
  <rv s="0">
    <fb>78.37</fb>
    <v>1</v>
  </rv>
  <rv s="0">
    <fb>45044</fb>
    <v>0</v>
  </rv>
  <rv s="0">
    <fb>78.31</fb>
    <v>1</v>
  </rv>
  <rv s="0">
    <fb>77.97</fb>
    <v>1</v>
  </rv>
  <rv s="0">
    <fb>79.540000000000006</fb>
    <v>1</v>
  </rv>
  <rv s="0">
    <fb>45047</fb>
    <v>0</v>
  </rv>
  <rv s="0">
    <fb>80.180000000000007</fb>
    <v>1</v>
  </rv>
  <rv s="0">
    <fb>80.19</fb>
    <v>1</v>
  </rv>
  <rv s="0">
    <fb>78.13</fb>
    <v>1</v>
  </rv>
  <rv s="0">
    <fb>79.31</fb>
    <v>1</v>
  </rv>
  <rv s="0">
    <fb>45048</fb>
    <v>0</v>
  </rv>
  <rv s="0">
    <fb>79.260000000000005</fb>
    <v>1</v>
  </rv>
  <rv s="0">
    <fb>79.78</fb>
    <v>1</v>
  </rv>
  <rv s="0">
    <fb>45049</fb>
    <v>0</v>
  </rv>
  <rv s="0">
    <fb>75.27</fb>
    <v>1</v>
  </rv>
  <rv s="0">
    <fb>75.55</fb>
    <v>1</v>
  </rv>
  <rv s="0">
    <fb>71.680000000000007</fb>
    <v>1</v>
  </rv>
  <rv s="0">
    <fb>72.33</fb>
    <v>1</v>
  </rv>
  <rv s="0">
    <fb>45050</fb>
    <v>0</v>
  </rv>
  <rv s="0">
    <fb>71.89</fb>
    <v>1</v>
  </rv>
  <rv s="0">
    <fb>73.73</fb>
    <v>1</v>
  </rv>
  <rv s="0">
    <fb>68.2</fb>
    <v>1</v>
  </rv>
  <rv s="0">
    <fb>72.5</fb>
    <v>1</v>
  </rv>
  <rv s="0">
    <fb>45051</fb>
    <v>0</v>
  </rv>
  <rv s="0">
    <fb>72.650000000000006</fb>
    <v>1</v>
  </rv>
  <rv s="0">
    <fb>75.73</fb>
    <v>1</v>
  </rv>
  <rv s="0">
    <fb>72.41</fb>
    <v>1</v>
  </rv>
  <rv s="0">
    <fb>75.3</fb>
    <v>1</v>
  </rv>
  <rv s="0">
    <fb>45054</fb>
    <v>0</v>
  </rv>
  <rv s="0">
    <fb>75.41</fb>
    <v>1</v>
  </rv>
  <rv s="0">
    <fb>77.42</fb>
    <v>1</v>
  </rv>
  <rv s="0">
    <fb>74.959999999999994</fb>
    <v>1</v>
  </rv>
  <rv s="0">
    <fb>77.010000000000005</fb>
    <v>1</v>
  </rv>
  <rv s="0">
    <fb>45055</fb>
    <v>0</v>
  </rv>
  <rv s="0">
    <fb>76.849999999999994</fb>
    <v>1</v>
  </rv>
  <rv s="0">
    <fb>75.069999999999993</fb>
    <v>1</v>
  </rv>
  <rv s="0">
    <fb>77.44</fb>
    <v>1</v>
  </rv>
  <rv s="0">
    <fb>45056</fb>
    <v>0</v>
  </rv>
  <rv s="0">
    <fb>77.25</fb>
    <v>1</v>
  </rv>
  <rv s="0">
    <fb>77.599999999999994</fb>
    <v>1</v>
  </rv>
  <rv s="0">
    <fb>75.680000000000007</fb>
    <v>1</v>
  </rv>
  <rv s="0">
    <fb>76.41</fb>
    <v>1</v>
  </rv>
  <rv s="0">
    <fb>45057</fb>
    <v>0</v>
  </rv>
  <rv s="0">
    <fb>76.64</fb>
    <v>1</v>
  </rv>
  <rv s="0">
    <fb>77.400000000000006</fb>
    <v>1</v>
  </rv>
  <rv s="0">
    <fb>74.62</fb>
    <v>1</v>
  </rv>
  <rv s="0">
    <fb>74.98</fb>
    <v>1</v>
  </rv>
  <rv s="0">
    <fb>45058</fb>
    <v>0</v>
  </rv>
  <rv s="0">
    <fb>75.459999999999994</fb>
    <v>1</v>
  </rv>
  <rv s="0">
    <fb>75.84</fb>
    <v>1</v>
  </rv>
  <rv s="0">
    <fb>74.03</fb>
    <v>1</v>
  </rv>
  <rv s="0">
    <fb>74.17</fb>
    <v>1</v>
  </rv>
  <rv s="0">
    <fb>45061</fb>
    <v>0</v>
  </rv>
  <rv s="0">
    <fb>74.25</fb>
    <v>1</v>
  </rv>
  <rv s="0">
    <fb>75.75</fb>
    <v>1</v>
  </rv>
  <rv s="0">
    <fb>73.489999999999995</fb>
    <v>1</v>
  </rv>
  <rv s="0">
    <fb>75.23</fb>
    <v>1</v>
  </rv>
  <rv s="0">
    <fb>45062</fb>
    <v>0</v>
  </rv>
  <rv s="0">
    <fb>75.45</fb>
    <v>1</v>
  </rv>
  <rv s="0">
    <fb>75.95</fb>
    <v>1</v>
  </rv>
  <rv s="0">
    <fb>74.5</fb>
    <v>1</v>
  </rv>
  <rv s="0">
    <fb>74.91</fb>
    <v>1</v>
  </rv>
  <rv s="0">
    <fb>45063</fb>
    <v>0</v>
  </rv>
  <rv s="0">
    <fb>74.680000000000007</fb>
    <v>1</v>
  </rv>
  <rv s="0">
    <fb>77.31</fb>
    <v>1</v>
  </rv>
  <rv s="0">
    <fb>74.09</fb>
    <v>1</v>
  </rv>
  <rv s="0">
    <fb>76.959999999999994</fb>
    <v>1</v>
  </rv>
  <rv s="0">
    <fb>45064</fb>
    <v>0</v>
  </rv>
  <rv s="0">
    <fb>76.790000000000006</fb>
    <v>1</v>
  </rv>
  <rv s="0">
    <fb>76.98</fb>
    <v>1</v>
  </rv>
  <rv s="0">
    <fb>75.48</fb>
    <v>1</v>
  </rv>
  <rv s="0">
    <fb>75.86</fb>
    <v>1</v>
  </rv>
  <rv s="0">
    <fb>45065</fb>
    <v>0</v>
  </rv>
  <rv s="0">
    <fb>77.5</fb>
    <v>1</v>
  </rv>
  <rv s="0">
    <fb>75.099999999999994</fb>
    <v>1</v>
  </rv>
  <rv s="0">
    <fb>75.58</fb>
    <v>1</v>
  </rv>
  <rv s="0">
    <fb>45068</fb>
    <v>0</v>
  </rv>
  <rv s="0">
    <fb>76.459999999999994</fb>
    <v>1</v>
  </rv>
  <rv s="0">
    <fb>75.989999999999995</fb>
    <v>1</v>
  </rv>
  <rv s="0">
    <fb>45069</fb>
    <v>0</v>
  </rv>
  <rv s="0">
    <fb>75.97</fb>
    <v>1</v>
  </rv>
  <rv s="0">
    <fb>77.739999999999995</fb>
    <v>1</v>
  </rv>
  <rv s="0">
    <fb>75.650000000000006</fb>
    <v>1</v>
  </rv>
  <rv s="0">
    <fb>76.84</fb>
    <v>1</v>
  </rv>
  <rv s="0">
    <fb>45070</fb>
    <v>0</v>
  </rv>
  <rv s="0">
    <fb>77.59</fb>
    <v>1</v>
  </rv>
  <rv s="0">
    <fb>78.66</fb>
    <v>1</v>
  </rv>
  <rv s="0">
    <fb>77.040000000000006</fb>
    <v>1</v>
  </rv>
  <rv s="0">
    <fb>78.36</fb>
    <v>1</v>
  </rv>
  <rv s="0">
    <fb>45071</fb>
    <v>0</v>
  </rv>
  <rv s="0">
    <fb>78.260000000000005</fb>
    <v>1</v>
  </rv>
  <rv s="0">
    <fb>78.5</fb>
    <v>1</v>
  </rv>
  <rv s="0">
    <fb>76.260000000000005</fb>
    <v>1</v>
  </rv>
  <rv s="0">
    <fb>45072</fb>
    <v>0</v>
  </rv>
  <rv s="0">
    <fb>76.12</fb>
    <v>1</v>
  </rv>
  <rv s="0">
    <fb>77.349999999999994</fb>
    <v>1</v>
  </rv>
  <rv s="0">
    <fb>75.72</fb>
    <v>1</v>
  </rv>
  <rv s="0">
    <fb>76.95</fb>
    <v>1</v>
  </rv>
  <rv s="0">
    <fb>45075</fb>
    <v>0</v>
  </rv>
  <rv s="0">
    <fb>45076</fb>
    <v>0</v>
  </rv>
  <rv s="0">
    <fb>77.37</fb>
    <v>1</v>
  </rv>
  <rv s="0">
    <fb>73.16</fb>
    <v>1</v>
  </rv>
  <rv s="0">
    <fb>73.540000000000006</fb>
    <v>1</v>
  </rv>
  <rv s="0">
    <fb>45077</fb>
    <v>0</v>
  </rv>
  <rv s="0">
    <fb>73.650000000000006</fb>
    <v>1</v>
  </rv>
  <rv s="0">
    <fb>73.77</fb>
    <v>1</v>
  </rv>
  <rv s="0">
    <fb>71.55</fb>
    <v>1</v>
  </rv>
  <rv s="0">
    <fb>72.66</fb>
    <v>1</v>
  </rv>
  <rv s="0">
    <fb>45078</fb>
    <v>0</v>
  </rv>
  <rv s="0">
    <fb>72.09</fb>
    <v>1</v>
  </rv>
  <rv s="0">
    <fb>75.25</fb>
    <v>1</v>
  </rv>
  <rv s="0">
    <fb>72.010000000000005</fb>
    <v>1</v>
  </rv>
  <rv s="0">
    <fb>74.28</fb>
    <v>1</v>
  </rv>
  <rv s="0">
    <fb>45079</fb>
    <v>0</v>
  </rv>
  <rv s="0">
    <fb>74.41</fb>
    <v>1</v>
  </rv>
  <rv s="0">
    <fb>76.489999999999995</fb>
    <v>1</v>
  </rv>
  <rv s="0">
    <fb>74.180000000000007</fb>
    <v>1</v>
  </rv>
  <rv s="0">
    <fb>76.13</fb>
    <v>1</v>
  </rv>
  <rv s="0">
    <fb>45082</fb>
    <v>0</v>
  </rv>
  <rv s="0">
    <fb>78.72</fb>
    <v>1</v>
  </rv>
  <rv s="0">
    <fb>76.3</fb>
    <v>1</v>
  </rv>
  <rv s="0">
    <fb>76.709999999999994</fb>
    <v>1</v>
  </rv>
  <rv s="0">
    <fb>45083</fb>
    <v>0</v>
  </rv>
  <rv s="0">
    <fb>76.47</fb>
    <v>1</v>
  </rv>
  <rv s="0">
    <fb>76.760000000000005</fb>
    <v>1</v>
  </rv>
  <rv s="0">
    <fb>74.73</fb>
    <v>1</v>
  </rv>
  <rv s="0">
    <fb>76.290000000000006</fb>
    <v>1</v>
  </rv>
  <rv s="0">
    <fb>45084</fb>
    <v>0</v>
  </rv>
  <rv s="0">
    <fb>76.069999999999993</fb>
    <v>1</v>
  </rv>
  <rv s="0">
    <fb>77.62</fb>
    <v>1</v>
  </rv>
  <rv s="0">
    <fb>75.510000000000005</fb>
    <v>1</v>
  </rv>
  <rv s="0">
    <fb>45085</fb>
    <v>0</v>
  </rv>
  <rv s="0">
    <fb>76.8</fb>
    <v>1</v>
  </rv>
  <rv s="0">
    <fb>77.66</fb>
    <v>1</v>
  </rv>
  <rv s="0">
    <fb>73.569999999999993</fb>
    <v>1</v>
  </rv>
  <rv s="0">
    <fb>75.959999999999994</fb>
    <v>1</v>
  </rv>
  <rv s="0">
    <fb>45086</fb>
    <v>0</v>
  </rv>
  <rv s="0">
    <fb>75.53</fb>
    <v>1</v>
  </rv>
  <rv s="0">
    <fb>76.55</fb>
    <v>1</v>
  </rv>
  <rv s="0">
    <fb>74.72</fb>
    <v>1</v>
  </rv>
  <rv s="0">
    <fb>74.790000000000006</fb>
    <v>1</v>
  </rv>
  <rv s="0">
    <fb>45089</fb>
    <v>0</v>
  </rv>
  <rv s="0">
    <fb>74.88</fb>
    <v>1</v>
  </rv>
  <rv s="0">
    <fb>71.569999999999993</fb>
    <v>1</v>
  </rv>
  <rv s="0">
    <fb>71.84</fb>
    <v>1</v>
  </rv>
  <rv s="0">
    <fb>45090</fb>
    <v>0</v>
  </rv>
  <rv s="0">
    <fb>72</fb>
    <v>1</v>
  </rv>
  <rv s="0">
    <fb>74.650000000000006</fb>
    <v>1</v>
  </rv>
  <rv s="0">
    <fb>71.95</fb>
    <v>1</v>
  </rv>
  <rv s="0">
    <fb>74.290000000000006</fb>
    <v>1</v>
  </rv>
  <rv s="0">
    <fb>45091</fb>
    <v>0</v>
  </rv>
  <rv s="0">
    <fb>74.069999999999993</fb>
    <v>1</v>
  </rv>
  <rv s="0">
    <fb>73.03</fb>
    <v>1</v>
  </rv>
  <rv s="0">
    <fb>73.2</fb>
    <v>1</v>
  </rv>
  <rv s="0">
    <fb>45092</fb>
    <v>0</v>
  </rv>
  <rv s="0">
    <fb>73.47</fb>
    <v>1</v>
  </rv>
  <rv s="0">
    <fb>72.91</fb>
    <v>1</v>
  </rv>
  <rv s="0">
    <fb>75.67</fb>
    <v>1</v>
  </rv>
  <rv s="0">
    <fb>45093</fb>
    <v>0</v>
  </rv>
  <rv s="0">
    <fb>76.739999999999995</fb>
    <v>1</v>
  </rv>
  <rv s="0">
    <fb>75.08</fb>
    <v>1</v>
  </rv>
  <rv s="0">
    <fb>76.61</fb>
    <v>1</v>
  </rv>
  <rv s="0">
    <fb>45096</fb>
    <v>0</v>
  </rv>
  <rv s="0">
    <fb>45097</fb>
    <v>0</v>
  </rv>
  <rv s="0">
    <fb>76.23</fb>
    <v>1</v>
  </rv>
  <rv s="0">
    <fb>77.150000000000006</fb>
    <v>1</v>
  </rv>
  <rv s="0">
    <fb>45098</fb>
    <v>0</v>
  </rv>
  <rv s="0">
    <fb>75.5</fb>
    <v>1</v>
  </rv>
  <rv s="0">
    <fb>77.239999999999995</fb>
    <v>1</v>
  </rv>
  <rv s="0">
    <fb>75.38</fb>
    <v>1</v>
  </rv>
  <rv s="0">
    <fb>77.12</fb>
    <v>1</v>
  </rv>
  <rv s="0">
    <fb>45099</fb>
    <v>0</v>
  </rv>
  <rv s="0">
    <fb>77.19</fb>
    <v>1</v>
  </rv>
  <rv s="0">
    <fb>73.58</fb>
    <v>1</v>
  </rv>
  <rv s="0">
    <fb>74.14</fb>
    <v>1</v>
  </rv>
  <rv s="0">
    <fb>45100</fb>
    <v>0</v>
  </rv>
  <rv s="0">
    <fb>74.150000000000006</fb>
    <v>1</v>
  </rv>
  <rv s="0">
    <fb>74.37</fb>
    <v>1</v>
  </rv>
  <rv s="0">
    <fb>72.099999999999994</fb>
    <v>1</v>
  </rv>
  <rv s="0">
    <fb>45103</fb>
    <v>0</v>
  </rv>
  <rv s="0">
    <fb>74.45</fb>
    <v>1</v>
  </rv>
  <rv s="0">
    <fb>74.83</fb>
    <v>1</v>
  </rv>
  <rv s="0">
    <fb>73.430000000000007</fb>
    <v>1</v>
  </rv>
  <rv s="0">
    <fb>45104</fb>
    <v>0</v>
  </rv>
  <rv s="0">
    <fb>74.23</fb>
    <v>1</v>
  </rv>
  <rv s="0">
    <fb>74.89</fb>
    <v>1</v>
  </rv>
  <rv s="0">
    <fb>72.260000000000005</fb>
    <v>1</v>
  </rv>
  <rv s="0">
    <fb>45105</fb>
    <v>0</v>
  </rv>
  <rv s="0">
    <fb>72.56</fb>
    <v>1</v>
  </rv>
  <rv s="0">
    <fb>74.209999999999994</fb>
    <v>1</v>
  </rv>
  <rv s="0">
    <fb>71.58</fb>
    <v>1</v>
  </rv>
  <rv s="0">
    <fb>45106</fb>
    <v>0</v>
  </rv>
  <rv s="0">
    <fb>73.75</fb>
    <v>1</v>
  </rv>
  <rv s="0">
    <fb>74.97</fb>
    <v>1</v>
  </rv>
  <rv s="0">
    <fb>73.41</fb>
    <v>1</v>
  </rv>
  <rv s="0">
    <fb>74.34</fb>
    <v>1</v>
  </rv>
  <rv s="0">
    <fb>45107</fb>
    <v>0</v>
  </rv>
  <rv s="0">
    <fb>75.13</fb>
    <v>1</v>
  </rv>
  <rv s="0">
    <fb>74.900000000000006</fb>
    <v>1</v>
  </rv>
  <rv s="0">
    <fb>45110</fb>
    <v>0</v>
  </rv>
  <rv s="0">
    <fb>76.58</fb>
    <v>1</v>
  </rv>
  <rv s="0">
    <fb>74.58</fb>
    <v>1</v>
  </rv>
  <rv s="0">
    <fb>45111</fb>
    <v>0</v>
  </rv>
  <rv s="0">
    <fb>45112</fb>
    <v>0</v>
  </rv>
  <rv s="0">
    <fb>74.94</fb>
    <v>1</v>
  </rv>
  <rv s="0">
    <fb>74.78</fb>
    <v>1</v>
  </rv>
  <rv s="0">
    <fb>76.650000000000006</fb>
    <v>1</v>
  </rv>
  <rv s="0">
    <fb>45113</fb>
    <v>0</v>
  </rv>
  <rv s="0">
    <fb>76.540000000000006</fb>
    <v>1</v>
  </rv>
  <rv s="0">
    <fb>77.08</fb>
    <v>1</v>
  </rv>
  <rv s="0">
    <fb>75.010000000000005</fb>
    <v>1</v>
  </rv>
  <rv s="0">
    <fb>76.52</fb>
    <v>1</v>
  </rv>
  <rv s="0">
    <fb>45114</fb>
    <v>0</v>
  </rv>
  <rv s="0">
    <fb>76.48</fb>
    <v>1</v>
  </rv>
  <rv s="0">
    <fb>78.53</fb>
    <v>1</v>
  </rv>
  <rv s="0">
    <fb>76.02</fb>
    <v>1</v>
  </rv>
  <rv s="0">
    <fb>78.47</fb>
    <v>1</v>
  </rv>
  <rv s="0">
    <fb>45117</fb>
    <v>0</v>
  </rv>
  <rv s="0">
    <fb>78.489999999999995</fb>
    <v>1</v>
  </rv>
  <rv s="0">
    <fb>78.78</fb>
    <v>1</v>
  </rv>
  <rv s="0">
    <fb>77.34</fb>
    <v>1</v>
  </rv>
  <rv s="0">
    <fb>45118</fb>
    <v>0</v>
  </rv>
  <rv s="0">
    <fb>77.86</fb>
    <v>1</v>
  </rv>
  <rv s="0">
    <fb>79.5</fb>
    <v>1</v>
  </rv>
  <rv s="0">
    <fb>77.64</fb>
    <v>1</v>
  </rv>
  <rv s="0">
    <fb>79.400000000000006</fb>
    <v>1</v>
  </rv>
  <rv s="0">
    <fb>45119</fb>
    <v>0</v>
  </rv>
  <rv s="0">
    <fb>79.22</fb>
    <v>1</v>
  </rv>
  <rv s="0">
    <fb>80.11</fb>
    <v>1</v>
  </rv>
  <rv s="0">
    <fb>45120</fb>
    <v>0</v>
  </rv>
  <rv s="0">
    <fb>80.150000000000006</fb>
    <v>1</v>
  </rv>
  <rv s="0">
    <fb>81.75</fb>
    <v>1</v>
  </rv>
  <rv s="0">
    <fb>79.87</fb>
    <v>1</v>
  </rv>
  <rv s="0">
    <fb>81.36</fb>
    <v>1</v>
  </rv>
  <rv s="0">
    <fb>45121</fb>
    <v>0</v>
  </rv>
  <rv s="0">
    <fb>81.61</fb>
    <v>1</v>
  </rv>
  <rv s="0">
    <fb>81.69</fb>
    <v>1</v>
  </rv>
  <rv s="0">
    <fb>79.569999999999993</fb>
    <v>1</v>
  </rv>
  <rv s="0">
    <fb>45124</fb>
    <v>0</v>
  </rv>
  <rv s="0">
    <fb>79.45</fb>
    <v>1</v>
  </rv>
  <rv s="0">
    <fb>80.62</fb>
    <v>1</v>
  </rv>
  <rv s="0">
    <fb>45125</fb>
    <v>0</v>
  </rv>
  <rv s="0">
    <fb>80.010000000000005</fb>
    <v>1</v>
  </rv>
  <rv s="0">
    <fb>78.2</fb>
    <v>1</v>
  </rv>
  <rv s="0">
    <fb>79.63</fb>
    <v>1</v>
  </rv>
  <rv s="0">
    <fb>45126</fb>
    <v>0</v>
  </rv>
  <rv s="0">
    <fb>80.95</fb>
    <v>1</v>
  </rv>
  <rv s="0">
    <fb>79.459999999999994</fb>
    <v>1</v>
  </rv>
  <rv s="0">
    <fb>45127</fb>
    <v>0</v>
  </rv>
  <rv s="0">
    <fb>80.27</fb>
    <v>1</v>
  </rv>
  <rv s="0">
    <fb>78.67</fb>
    <v>1</v>
  </rv>
  <rv s="0">
    <fb>79.64</fb>
    <v>1</v>
  </rv>
  <rv s="0">
    <fb>45128</fb>
    <v>0</v>
  </rv>
  <rv s="0">
    <fb>79.66</fb>
    <v>1</v>
  </rv>
  <rv s="0">
    <fb>45131</fb>
    <v>0</v>
  </rv>
  <rv s="0">
    <fb>80.42</fb>
    <v>1</v>
  </rv>
  <rv s="0">
    <fb>45132</fb>
    <v>0</v>
  </rv>
  <rv s="0">
    <fb>82.83</fb>
    <v>1</v>
  </rv>
  <rv s="0">
    <fb>83.88</fb>
    <v>1</v>
  </rv>
  <rv s="0">
    <fb>82.24</fb>
    <v>1</v>
  </rv>
  <rv s="0">
    <fb>83.64</fb>
    <v>1</v>
  </rv>
  <rv s="0">
    <fb>45133</fb>
    <v>0</v>
  </rv>
  <rv s="0">
    <fb>83.27</fb>
    <v>1</v>
  </rv>
  <rv s="0">
    <fb>82.6</fb>
    <v>1</v>
  </rv>
  <rv s="0">
    <fb>82.92</fb>
    <v>1</v>
  </rv>
  <rv s="0">
    <fb>45134</fb>
    <v>0</v>
  </rv>
  <rv s="0">
    <fb>84.51</fb>
    <v>1</v>
  </rv>
  <rv s="0">
    <fb>84.24</fb>
    <v>1</v>
  </rv>
  <rv s="0">
    <fb>45135</fb>
    <v>0</v>
  </rv>
  <rv s="0">
    <fb>83.22</fb>
    <v>1</v>
  </rv>
  <rv s="0">
    <fb>45138</fb>
    <v>0</v>
  </rv>
  <rv s="0">
    <fb>84.88</fb>
    <v>1</v>
  </rv>
  <rv s="0">
    <fb>85.66</fb>
    <v>1</v>
  </rv>
  <rv s="0">
    <fb>84.52</fb>
    <v>1</v>
  </rv>
  <rv s="0">
    <fb>85.56</fb>
    <v>1</v>
  </rv>
  <rv s="0">
    <fb>45139</fb>
    <v>0</v>
  </rv>
  <rv s="0">
    <fb>85.35</fb>
    <v>1</v>
  </rv>
  <rv s="0">
    <fb>84.26</fb>
    <v>1</v>
  </rv>
  <rv s="0">
    <fb>84.91</fb>
    <v>1</v>
  </rv>
  <rv s="0">
    <fb>45140</fb>
    <v>0</v>
  </rv>
  <rv s="0">
    <fb>85.73</fb>
    <v>1</v>
  </rv>
  <rv s="0">
    <fb>85.98</fb>
    <v>1</v>
  </rv>
  <rv s="0">
    <fb>83.2</fb>
    <v>1</v>
  </rv>
  <rv s="0">
    <fb>45141</fb>
    <v>0</v>
  </rv>
  <rv s="0">
    <fb>83.44</fb>
    <v>1</v>
  </rv>
  <rv s="0">
    <fb>85.42</fb>
    <v>1</v>
  </rv>
  <rv s="0">
    <fb>45142</fb>
    <v>0</v>
  </rv>
  <rv s="0">
    <fb>85.32</fb>
    <v>1</v>
  </rv>
  <rv s="0">
    <fb>86.65</fb>
    <v>1</v>
  </rv>
  <rv s="0">
    <fb>85.11</fb>
    <v>1</v>
  </rv>
  <rv s="0">
    <fb>45145</fb>
    <v>0</v>
  </rv>
  <rv s="0">
    <fb>86.14</fb>
    <v>1</v>
  </rv>
  <rv s="0">
    <fb>86.71</fb>
    <v>1</v>
  </rv>
  <rv s="0">
    <fb>85.04</fb>
    <v>1</v>
  </rv>
  <rv s="0">
    <fb>85.34</fb>
    <v>1</v>
  </rv>
  <rv s="0">
    <fb>45146</fb>
    <v>0</v>
  </rv>
  <rv s="0">
    <fb>85.84</fb>
    <v>1</v>
  </rv>
  <rv s="0">
    <fb>86.35</fb>
    <v>1</v>
  </rv>
  <rv s="0">
    <fb>83.32</fb>
    <v>1</v>
  </rv>
  <rv s="0">
    <fb>86.17</fb>
    <v>1</v>
  </rv>
  <rv s="0">
    <fb>45147</fb>
    <v>0</v>
  </rv>
  <rv s="0">
    <fb>86.01</fb>
    <v>1</v>
  </rv>
  <rv s="0">
    <fb>85.94</fb>
    <v>1</v>
  </rv>
  <rv s="0">
    <fb>87.55</fb>
    <v>1</v>
  </rv>
  <rv s="0">
    <fb>45148</fb>
    <v>0</v>
  </rv>
  <rv s="0">
    <fb>88.1</fb>
    <v>1</v>
  </rv>
  <rv s="0">
    <fb>45149</fb>
    <v>0</v>
  </rv>
  <rv s="0">
    <fb>87.35</fb>
    <v>1</v>
  </rv>
  <rv s="0">
    <fb>86.81</fb>
    <v>1</v>
  </rv>
  <rv s="0">
    <fb>45152</fb>
    <v>0</v>
  </rv>
  <rv s="0">
    <fb>86.64</fb>
    <v>1</v>
  </rv>
  <rv s="0">
    <fb>86.7</fb>
    <v>1</v>
  </rv>
  <rv s="0">
    <fb>86.21</fb>
    <v>1</v>
  </rv>
  <rv s="0">
    <fb>45153</fb>
    <v>0</v>
  </rv>
  <rv s="0">
    <fb>86.67</fb>
    <v>1</v>
  </rv>
  <rv s="0">
    <fb>84.89</fb>
    <v>1</v>
  </rv>
  <rv s="0">
    <fb>45154</fb>
    <v>0</v>
  </rv>
  <rv s="0">
    <fb>85.36</fb>
    <v>1</v>
  </rv>
  <rv s="0">
    <fb>83.45</fb>
    <v>1</v>
  </rv>
  <rv s="0">
    <fb>45155</fb>
    <v>0</v>
  </rv>
  <rv s="0">
    <fb>83.35</fb>
    <v>1</v>
  </rv>
  <rv s="0">
    <fb>45156</fb>
    <v>0</v>
  </rv>
  <rv s="0">
    <fb>83.83</fb>
    <v>1</v>
  </rv>
  <rv s="0">
    <fb>84.8</fb>
    <v>1</v>
  </rv>
  <rv s="0">
    <fb>45159</fb>
    <v>0</v>
  </rv>
  <rv s="0">
    <fb>85.06</fb>
    <v>1</v>
  </rv>
  <rv s="0">
    <fb>85.87</fb>
    <v>1</v>
  </rv>
  <rv s="0">
    <fb>45160</fb>
    <v>0</v>
  </rv>
  <rv s="0">
    <fb>84.39</fb>
    <v>1</v>
  </rv>
  <rv s="0">
    <fb>84.65</fb>
    <v>1</v>
  </rv>
  <rv s="0">
    <fb>45161</fb>
    <v>0</v>
  </rv>
  <rv s="0">
    <fb>83.98</fb>
    <v>1</v>
  </rv>
  <rv s="0">
    <fb>81.97</fb>
    <v>1</v>
  </rv>
  <rv s="0">
    <fb>83.21</fb>
    <v>1</v>
  </rv>
  <rv s="0">
    <fb>45162</fb>
    <v>0</v>
  </rv>
  <rv s="0">
    <fb>83.61</fb>
    <v>1</v>
  </rv>
  <rv s="0">
    <fb>83.36</fb>
    <v>1</v>
  </rv>
  <rv s="0">
    <fb>45163</fb>
    <v>0</v>
  </rv>
  <rv s="0">
    <fb>84.97</fb>
    <v>1</v>
  </rv>
  <rv s="0">
    <fb>82.69</fb>
    <v>1</v>
  </rv>
  <rv s="0">
    <fb>84.48</fb>
    <v>1</v>
  </rv>
  <rv s="0">
    <fb>45166</fb>
    <v>0</v>
  </rv>
  <rv s="0">
    <fb>84.87</fb>
    <v>1</v>
  </rv>
  <rv s="0">
    <fb>85.22</fb>
    <v>1</v>
  </rv>
  <rv s="0">
    <fb>84.11</fb>
    <v>1</v>
  </rv>
  <rv s="0">
    <fb>84.42</fb>
    <v>1</v>
  </rv>
  <rv s="0">
    <fb>45167</fb>
    <v>0</v>
  </rv>
  <rv s="0">
    <fb>84.38</fb>
    <v>1</v>
  </rv>
  <rv s="0">
    <fb>85.65</fb>
    <v>1</v>
  </rv>
  <rv s="0">
    <fb>83.78</fb>
    <v>1</v>
  </rv>
  <rv s="0">
    <fb>45168</fb>
    <v>0</v>
  </rv>
  <rv s="0">
    <fb>85.63</fb>
    <v>1</v>
  </rv>
  <rv s="0">
    <fb>85.13</fb>
    <v>1</v>
  </rv>
  <rv s="0">
    <fb>85.86</fb>
    <v>1</v>
  </rv>
  <rv s="0">
    <fb>45169</fb>
    <v>0</v>
  </rv>
  <rv s="0">
    <fb>45170</fb>
    <v>0</v>
  </rv>
  <rv s="0">
    <fb>88.96</fb>
    <v>1</v>
  </rv>
  <rv s="0">
    <fb>86.74</fb>
    <v>1</v>
  </rv>
  <rv s="0">
    <fb>88.55</fb>
    <v>1</v>
  </rv>
  <rv s="0">
    <fb>45173</fb>
    <v>0</v>
  </rv>
  <rv s="0">
    <fb>45174</fb>
    <v>0</v>
  </rv>
  <rv s="0">
    <fb>88.7</fb>
    <v>1</v>
  </rv>
  <rv s="0">
    <fb>91.18</fb>
    <v>1</v>
  </rv>
  <rv s="0">
    <fb>88.07</fb>
    <v>1</v>
  </rv>
  <rv s="0">
    <fb>90.04</fb>
    <v>1</v>
  </rv>
  <rv s="0">
    <fb>45175</fb>
    <v>0</v>
  </rv>
  <rv s="0">
    <fb>91.11</fb>
    <v>1</v>
  </rv>
  <rv s="0">
    <fb>89.25</fb>
    <v>1</v>
  </rv>
  <rv s="0">
    <fb>90.6</fb>
    <v>1</v>
  </rv>
  <rv s="0">
    <fb>45176</fb>
    <v>0</v>
  </rv>
  <rv s="0">
    <fb>90.86</fb>
    <v>1</v>
  </rv>
  <rv s="0">
    <fb>89.47</fb>
    <v>1</v>
  </rv>
  <rv s="0">
    <fb>45177</fb>
    <v>0</v>
  </rv>
  <rv s="0">
    <fb>45180</fb>
    <v>0</v>
  </rv>
  <rv s="0">
    <fb>90.66</fb>
    <v>1</v>
  </rv>
  <rv s="0">
    <fb>91.45</fb>
    <v>1</v>
  </rv>
  <rv s="0">
    <fb>90.12</fb>
    <v>1</v>
  </rv>
  <rv s="0">
    <fb>90.64</fb>
    <v>1</v>
  </rv>
  <rv s="0">
    <fb>45181</fb>
    <v>0</v>
  </rv>
  <rv s="0">
    <fb>90.56</fb>
    <v>1</v>
  </rv>
  <rv s="0">
    <fb>92.42</fb>
    <v>1</v>
  </rv>
  <rv s="0">
    <fb>90.54</fb>
    <v>1</v>
  </rv>
  <rv s="0">
    <fb>92.06</fb>
    <v>1</v>
  </rv>
  <rv s="0">
    <fb>45182</fb>
    <v>0</v>
  </rv>
  <rv s="0">
    <fb>91.93</fb>
    <v>1</v>
  </rv>
  <rv s="0">
    <fb>91.88</fb>
    <v>1</v>
  </rv>
  <rv s="0">
    <fb>45183</fb>
    <v>0</v>
  </rv>
  <rv s="0">
    <fb>92.2</fb>
    <v>1</v>
  </rv>
  <rv s="0">
    <fb>92.03</fb>
    <v>1</v>
  </rv>
  <rv s="0">
    <fb>93.7</fb>
    <v>1</v>
  </rv>
  <rv s="0">
    <fb>45184</fb>
    <v>0</v>
  </rv>
  <rv s="0">
    <fb>94.13</fb>
    <v>1</v>
  </rv>
  <rv s="0">
    <fb>94.61</fb>
    <v>1</v>
  </rv>
  <rv s="0">
    <fb>92.67</fb>
    <v>1</v>
  </rv>
  <rv s="0">
    <fb>45187</fb>
    <v>0</v>
  </rv>
  <rv s="0">
    <fb>94.2</fb>
    <v>1</v>
  </rv>
  <rv s="0">
    <fb>94.95</fb>
    <v>1</v>
  </rv>
  <rv s="0">
    <fb>93.78</fb>
    <v>1</v>
  </rv>
  <rv s="0">
    <fb>45188</fb>
    <v>0</v>
  </rv>
  <rv s="0">
    <fb>94.63</fb>
    <v>1</v>
  </rv>
  <rv s="0">
    <fb>94.17</fb>
    <v>1</v>
  </rv>
  <rv s="0">
    <fb>45189</fb>
    <v>0</v>
  </rv>
  <rv s="0">
    <fb>94.73</fb>
    <v>1</v>
  </rv>
  <rv s="0">
    <fb>92.76</fb>
    <v>1</v>
  </rv>
  <rv s="0">
    <fb>93.53</fb>
    <v>1</v>
  </rv>
  <rv s="0">
    <fb>45190</fb>
    <v>0</v>
  </rv>
  <rv s="0">
    <fb>93.22</fb>
    <v>1</v>
  </rv>
  <rv s="0">
    <fb>94.6</fb>
    <v>1</v>
  </rv>
  <rv s="0">
    <fb>93.3</fb>
    <v>1</v>
  </rv>
  <rv s="0">
    <fb>45191</fb>
    <v>0</v>
  </rv>
  <rv s="0">
    <fb>93.32</fb>
    <v>1</v>
  </rv>
  <rv s="0">
    <fb>45194</fb>
    <v>0</v>
  </rv>
  <rv s="0">
    <fb>93.75</fb>
    <v>1</v>
  </rv>
  <rv s="0">
    <fb>93.29</fb>
    <v>1</v>
  </rv>
  <rv s="0">
    <fb>45195</fb>
    <v>0</v>
  </rv>
  <rv s="0">
    <fb>93.96</fb>
    <v>1</v>
  </rv>
  <rv s="0">
    <fb>45196</fb>
    <v>0</v>
  </rv>
  <rv s="0">
    <fb>97.04</fb>
    <v>1</v>
  </rv>
  <rv s="0">
    <fb>94.15</fb>
    <v>1</v>
  </rv>
  <rv s="0">
    <fb>96.55</fb>
    <v>1</v>
  </rv>
  <rv s="0">
    <fb>45197</fb>
    <v>0</v>
  </rv>
  <rv s="0">
    <fb>96.62</fb>
    <v>1</v>
  </rv>
  <rv s="0">
    <fb>95.38</fb>
    <v>1</v>
  </rv>
  <rv s="0">
    <fb>45198</fb>
    <v>0</v>
  </rv>
  <rv s="0">
    <fb>96.24</fb>
    <v>1</v>
  </rv>
  <rv s="0">
    <fb>94.96</fb>
    <v>1</v>
  </rv>
  <rv s="0">
    <fb>95.31</fb>
    <v>1</v>
  </rv>
  <rv s="0">
    <fb>45201</fb>
    <v>0</v>
  </rv>
  <rv s="0">
    <fb>92.19</fb>
    <v>1</v>
  </rv>
  <rv s="0">
    <fb>45202</fb>
    <v>0</v>
  </rv>
  <rv s="0">
    <fb>90.44</fb>
    <v>1</v>
  </rv>
  <rv s="0">
    <fb>91.56</fb>
    <v>1</v>
  </rv>
  <rv s="0">
    <fb>90.92</fb>
    <v>1</v>
  </rv>
  <rv s="0">
    <fb>45203</fb>
    <v>0</v>
  </rv>
  <rv s="0">
    <fb>90.96</fb>
    <v>1</v>
  </rv>
  <rv s="0">
    <fb>91.19</fb>
    <v>1</v>
  </rv>
  <rv s="0">
    <fb>45204</fb>
    <v>0</v>
  </rv>
  <rv s="0">
    <fb>86.03</fb>
    <v>1</v>
  </rv>
  <rv s="0">
    <fb>84.07</fb>
    <v>1</v>
  </rv>
  <rv s="0">
    <fb>45205</fb>
    <v>0</v>
  </rv>
  <rv s="0">
    <fb>84.22</fb>
    <v>1</v>
  </rv>
  <rv s="0">
    <fb>84.96</fb>
    <v>1</v>
  </rv>
  <rv s="0">
    <fb>84.58</fb>
    <v>1</v>
  </rv>
  <rv s="0">
    <fb>45208</fb>
    <v>0</v>
  </rv>
  <rv s="0">
    <fb>89</fb>
    <v>1</v>
  </rv>
  <rv s="0">
    <fb>86.07</fb>
    <v>1</v>
  </rv>
  <rv s="0">
    <fb>88.15</fb>
    <v>1</v>
  </rv>
  <rv s="0">
    <fb>45209</fb>
    <v>0</v>
  </rv>
  <rv s="0">
    <fb>88.11</fb>
    <v>1</v>
  </rv>
  <rv s="0">
    <fb>88.47</fb>
    <v>1</v>
  </rv>
  <rv s="0">
    <fb>86.92</fb>
    <v>1</v>
  </rv>
  <rv s="0">
    <fb>45210</fb>
    <v>0</v>
  </rv>
  <rv s="0">
    <fb>87.75</fb>
    <v>1</v>
  </rv>
  <rv s="0">
    <fb>88.25</fb>
    <v>1</v>
  </rv>
  <rv s="0">
    <fb>45211</fb>
    <v>0</v>
  </rv>
  <rv s="0">
    <fb>85.6</fb>
    <v>1</v>
  </rv>
  <rv s="0">
    <fb>85.18</fb>
    <v>1</v>
  </rv>
  <rv s="0">
    <fb>45212</fb>
    <v>0</v>
  </rv>
  <rv s="0">
    <fb>86.41</fb>
    <v>1</v>
  </rv>
  <rv s="0">
    <fb>90.99</fb>
    <v>1</v>
  </rv>
  <rv s="0">
    <fb>90.89</fb>
    <v>1</v>
  </rv>
  <rv s="0">
    <fb>45215</fb>
    <v>0</v>
  </rv>
  <rv s="0">
    <fb>91.39</fb>
    <v>1</v>
  </rv>
  <rv s="0">
    <fb>89.65</fb>
    <v>1</v>
  </rv>
  <rv s="0">
    <fb>45216</fb>
    <v>0</v>
  </rv>
  <rv s="0">
    <fb>90.06</fb>
    <v>1</v>
  </rv>
  <rv s="0">
    <fb>88.87</fb>
    <v>1</v>
  </rv>
  <rv s="0">
    <fb>89.9</fb>
    <v>1</v>
  </rv>
  <rv s="0">
    <fb>45217</fb>
    <v>0</v>
  </rv>
  <rv s="0">
    <fb>92.97</fb>
    <v>1</v>
  </rv>
  <rv s="0">
    <fb>91.5</fb>
    <v>1</v>
  </rv>
  <rv s="0">
    <fb>45218</fb>
    <v>0</v>
  </rv>
  <rv s="0">
    <fb>91.34</fb>
    <v>1</v>
  </rv>
  <rv s="0">
    <fb>93.47</fb>
    <v>1</v>
  </rv>
  <rv s="0">
    <fb>89.53</fb>
    <v>1</v>
  </rv>
  <rv s="0">
    <fb>45219</fb>
    <v>0</v>
  </rv>
  <rv s="0">
    <fb>92.85</fb>
    <v>1</v>
  </rv>
  <rv s="0">
    <fb>92.16</fb>
    <v>1</v>
  </rv>
  <rv s="0">
    <fb>45222</fb>
    <v>0</v>
  </rv>
  <rv s="0">
    <fb>92.13</fb>
    <v>1</v>
  </rv>
  <rv s="0">
    <fb>92.43</fb>
    <v>1</v>
  </rv>
  <rv s="0">
    <fb>89.62</fb>
    <v>1</v>
  </rv>
  <rv s="0">
    <fb>45223</fb>
    <v>0</v>
  </rv>
  <rv s="0">
    <fb>90.67</fb>
    <v>1</v>
  </rv>
  <rv s="0">
    <fb>45224</fb>
    <v>0</v>
  </rv>
  <rv s="0">
    <fb>88.14</fb>
    <v>1</v>
  </rv>
  <rv s="0">
    <fb>90.34</fb>
    <v>1</v>
  </rv>
  <rv s="0">
    <fb>90.13</fb>
    <v>1</v>
  </rv>
  <rv s="0">
    <fb>45225</fb>
    <v>0</v>
  </rv>
  <rv s="0">
    <fb>90.36</fb>
    <v>1</v>
  </rv>
  <rv s="0">
    <fb>87.93</fb>
    <v>1</v>
  </rv>
  <rv s="0">
    <fb>45226</fb>
    <v>0</v>
  </rv>
  <rv s="0">
    <fb>88.26</fb>
    <v>1</v>
  </rv>
  <rv s="0">
    <fb>90.74</fb>
    <v>1</v>
  </rv>
  <rv s="0">
    <fb>90.48</fb>
    <v>1</v>
  </rv>
  <rv s="0">
    <fb>45229</fb>
    <v>0</v>
  </rv>
  <rv s="0">
    <fb>90.3</fb>
    <v>1</v>
  </rv>
  <rv s="0">
    <fb>87.22</fb>
    <v>1</v>
  </rv>
  <rv s="0">
    <fb>45230</fb>
    <v>0</v>
  </rv>
  <rv s="0">
    <fb>88.53</fb>
    <v>1</v>
  </rv>
  <rv s="0">
    <fb>87.42</fb>
    <v>1</v>
  </rv>
  <rv s="0">
    <fb>87.41</fb>
    <v>1</v>
  </rv>
  <rv s="0">
    <fb>45231</fb>
    <v>0</v>
  </rv>
  <rv s="0">
    <fb>85.45</fb>
    <v>1</v>
  </rv>
  <rv s="0">
    <fb>84.56</fb>
    <v>1</v>
  </rv>
  <rv s="0">
    <fb>84.63</fb>
    <v>1</v>
  </rv>
  <rv s="0">
    <fb>45232</fb>
    <v>0</v>
  </rv>
  <rv s="0">
    <fb>87.03</fb>
    <v>1</v>
  </rv>
  <rv s="0">
    <fb>45233</fb>
    <v>0</v>
  </rv>
  <rv s="0">
    <fb>87.78</fb>
    <v>1</v>
  </rv>
  <rv s="0">
    <fb>84.55</fb>
    <v>1</v>
  </rv>
  <rv s="0">
    <fb>45236</fb>
    <v>0</v>
  </rv>
  <rv s="0">
    <fb>85.39</fb>
    <v>1</v>
  </rv>
  <rv s="0">
    <fb>86.45</fb>
    <v>1</v>
  </rv>
  <rv s="0">
    <fb>45237</fb>
    <v>0</v>
  </rv>
  <rv s="0">
    <fb>85.23</fb>
    <v>1</v>
  </rv>
  <rv s="0">
    <fb>81.42</fb>
    <v>1</v>
  </rv>
  <rv s="0">
    <fb>45238</fb>
    <v>0</v>
  </rv>
  <rv s="0">
    <fb>81.93</fb>
    <v>1</v>
  </rv>
  <rv s="0">
    <fb>79.16</fb>
    <v>1</v>
  </rv>
  <rv s="0">
    <fb>45239</fb>
    <v>0</v>
  </rv>
  <rv s="0">
    <fb>81.48</fb>
    <v>1</v>
  </rv>
  <rv s="0">
    <fb>79.44</fb>
    <v>1</v>
  </rv>
  <rv s="0">
    <fb>45240</fb>
    <v>0</v>
  </rv>
  <rv s="0">
    <fb>79.61</fb>
    <v>1</v>
  </rv>
  <rv s="0">
    <fb>81.430000000000007</fb>
    <v>1</v>
  </rv>
  <rv s="0">
    <fb>45243</fb>
    <v>0</v>
  </rv>
  <rv s="0">
    <fb>81.45</fb>
    <v>1</v>
  </rv>
  <rv s="0">
    <fb>82.82</fb>
    <v>1</v>
  </rv>
  <rv s="0">
    <fb>80.41</fb>
    <v>1</v>
  </rv>
  <rv s="0">
    <fb>82.52</fb>
    <v>1</v>
  </rv>
  <rv s="0">
    <fb>45244</fb>
    <v>0</v>
  </rv>
  <rv s="0">
    <fb>83.97</fb>
    <v>1</v>
  </rv>
  <rv s="0">
    <fb>82.47</fb>
    <v>1</v>
  </rv>
  <rv s="0">
    <fb>45245</fb>
    <v>0</v>
  </rv>
  <rv s="0">
    <fb>80.8</fb>
    <v>1</v>
  </rv>
  <rv s="0">
    <fb>45246</fb>
    <v>0</v>
  </rv>
  <rv s="0">
    <fb>80.94</fb>
    <v>1</v>
  </rv>
  <rv s="0">
    <fb>81.16</fb>
    <v>1</v>
  </rv>
  <rv s="0">
    <fb>76.599999999999994</fb>
    <v>1</v>
  </rv>
  <rv s="0">
    <fb>45247</fb>
    <v>0</v>
  </rv>
  <rv s="0">
    <fb>77.53</fb>
    <v>1</v>
  </rv>
  <rv s="0">
    <fb>77.28</fb>
    <v>1</v>
  </rv>
  <rv s="0">
    <fb>80.61</fb>
    <v>1</v>
  </rv>
  <rv s="0">
    <fb>45250</fb>
    <v>0</v>
  </rv>
  <rv s="0">
    <fb>82.93</fb>
    <v>1</v>
  </rv>
  <rv s="0">
    <fb>79.97</fb>
    <v>1</v>
  </rv>
  <rv s="0">
    <fb>45251</fb>
    <v>0</v>
  </rv>
  <rv s="0">
    <fb>82.13</fb>
    <v>1</v>
  </rv>
  <rv s="0">
    <fb>82.53</fb>
    <v>1</v>
  </rv>
  <rv s="0">
    <fb>45252</fb>
    <v>0</v>
  </rv>
  <rv s="0">
    <fb>82.4</fb>
    <v>1</v>
  </rv>
  <rv s="0">
    <fb>82.63</fb>
    <v>1</v>
  </rv>
  <rv s="0">
    <fb>78.41</fb>
    <v>1</v>
  </rv>
  <rv s="0">
    <fb>81.96</fb>
    <v>1</v>
  </rv>
  <rv s="0">
    <fb>45253</fb>
    <v>0</v>
  </rv>
  <rv s="0">
    <fb>45254</fb>
    <v>0</v>
  </rv>
  <rv s="0">
    <fb>81.63</fb>
    <v>1</v>
  </rv>
  <rv s="0">
    <fb>80.58</fb>
    <v>1</v>
  </rv>
  <rv s="0">
    <fb>45257</fb>
    <v>0</v>
  </rv>
  <rv s="0">
    <fb>79.13</fb>
    <v>1</v>
  </rv>
  <rv s="0">
    <fb>79.98</fb>
    <v>1</v>
  </rv>
  <rv s="0">
    <fb>45258</fb>
    <v>0</v>
  </rv>
  <rv s="0">
    <fb>80.14</fb>
    <v>1</v>
  </rv>
  <rv s="0">
    <fb>82.18</fb>
    <v>1</v>
  </rv>
  <rv s="0">
    <fb>79.83</fb>
    <v>1</v>
  </rv>
  <rv s="0">
    <fb>81.680000000000007</fb>
    <v>1</v>
  </rv>
  <rv s="0">
    <fb>45259</fb>
    <v>0</v>
  </rv>
  <rv s="0">
    <fb>83.24</fb>
    <v>1</v>
  </rv>
  <rv s="0">
    <fb>80.959999999999994</fb>
    <v>1</v>
  </rv>
  <rv s="0">
    <fb>45260</fb>
    <v>0</v>
  </rv>
  <rv s="0">
    <fb>82.87</fb>
    <v>1</v>
  </rv>
  <rv s="0">
    <fb>84.71</fb>
    <v>1</v>
  </rv>
  <rv s="0">
    <fb>45261</fb>
    <v>0</v>
  </rv>
  <rv s="0">
    <fb>81.52</fb>
    <v>1</v>
  </rv>
  <rv s="0">
    <fb>78.75</fb>
    <v>1</v>
  </rv>
  <rv s="0">
    <fb>78.88</fb>
    <v>1</v>
  </rv>
  <rv s="0">
    <fb>45264</fb>
    <v>0</v>
  </rv>
  <rv s="0">
    <fb>79.430000000000007</fb>
    <v>1</v>
  </rv>
  <rv s="0">
    <fb>77.52</fb>
    <v>1</v>
  </rv>
  <rv s="0">
    <fb>78.03</fb>
    <v>1</v>
  </rv>
  <rv s="0">
    <fb>45265</fb>
    <v>0</v>
  </rv>
  <rv s="0">
    <fb>77.2</fb>
    <v>1</v>
  </rv>
  <rv s="0">
    <fb>45266</fb>
    <v>0</v>
  </rv>
  <rv s="0">
    <fb>77.06</fb>
    <v>1</v>
  </rv>
  <rv s="0">
    <fb>77.63</fb>
    <v>1</v>
  </rv>
  <rv s="0">
    <fb>74.11</fb>
    <v>1</v>
  </rv>
  <rv s="0">
    <fb>74.3</fb>
    <v>1</v>
  </rv>
  <rv s="0">
    <fb>45267</fb>
    <v>0</v>
  </rv>
  <rv s="0">
    <fb>73.61</fb>
    <v>1</v>
  </rv>
  <rv s="0">
    <fb>74.05</fb>
    <v>1</v>
  </rv>
  <rv s="0">
    <fb>45268</fb>
    <v>0</v>
  </rv>
  <rv s="0">
    <fb>76.36</fb>
    <v>1</v>
  </rv>
  <rv s="0">
    <fb>45271</fb>
    <v>0</v>
  </rv>
  <rv s="0">
    <fb>75.66</fb>
    <v>1</v>
  </rv>
  <rv s="0">
    <fb>75</fb>
    <v>1</v>
  </rv>
  <rv s="0">
    <fb>76.03</fb>
    <v>1</v>
  </rv>
  <rv s="0">
    <fb>45272</fb>
    <v>0</v>
  </rv>
  <rv s="0">
    <fb>76.25</fb>
    <v>1</v>
  </rv>
  <rv s="0">
    <fb>72.86</fb>
    <v>1</v>
  </rv>
  <rv s="0">
    <fb>73.239999999999995</fb>
    <v>1</v>
  </rv>
  <rv s="0">
    <fb>45273</fb>
    <v>0</v>
  </rv>
  <rv s="0">
    <fb>73.36</fb>
    <v>1</v>
  </rv>
  <rv s="0">
    <fb>72.3</fb>
    <v>1</v>
  </rv>
  <rv s="0">
    <fb>74.260000000000005</fb>
    <v>1</v>
  </rv>
  <rv s="0">
    <fb>45274</fb>
    <v>0</v>
  </rv>
  <rv s="0">
    <fb>74.709999999999994</fb>
    <v>1</v>
  </rv>
  <rv s="0">
    <fb>74.459999999999994</fb>
    <v>1</v>
  </rv>
  <rv s="0">
    <fb>45275</fb>
    <v>0</v>
  </rv>
  <rv s="0">
    <fb>77.22</fb>
    <v>1</v>
  </rv>
  <rv s="0">
    <fb>75.33</fb>
    <v>1</v>
  </rv>
  <rv s="0">
    <fb>45278</fb>
    <v>0</v>
  </rv>
  <rv s="0">
    <fb>76.97</fb>
    <v>1</v>
  </rv>
  <rv s="0">
    <fb>79.510000000000005</fb>
    <v>1</v>
  </rv>
  <rv s="0">
    <fb>75.78</fb>
    <v>1</v>
  </rv>
  <rv s="0">
    <fb>45279</fb>
    <v>0</v>
  </rv>
  <rv s="0">
    <fb>79.23</fb>
    <v>1</v>
  </rv>
  <rv s="0">
    <fb>45280</fb>
    <v>0</v>
  </rv>
  <rv s="0">
    <fb>79.25</fb>
    <v>1</v>
  </rv>
  <rv s="0">
    <fb>79.08</fb>
    <v>1</v>
  </rv>
  <rv s="0">
    <fb>45281</fb>
    <v>0</v>
  </rv>
  <rv s="0">
    <fb>79.14</fb>
    <v>1</v>
  </rv>
  <rv s="0">
    <fb>80.12</fb>
    <v>1</v>
  </rv>
  <rv s="0">
    <fb>79.39</fb>
    <v>1</v>
  </rv>
  <rv s="0">
    <fb>45282</fb>
    <v>0</v>
  </rv>
  <rv s="0">
    <fb>80.37</fb>
    <v>1</v>
  </rv>
  <rv s="0">
    <fb>78.83</fb>
    <v>1</v>
  </rv>
  <rv s="0">
    <fb>45285</fb>
    <v>0</v>
  </rv>
  <rv s="0">
    <fb>45286</fb>
    <v>0</v>
  </rv>
  <rv s="0">
    <fb>79.19</fb>
    <v>1</v>
  </rv>
  <rv s="0">
    <fb>81.709999999999994</fb>
    <v>1</v>
  </rv>
  <rv s="0">
    <fb>45287</fb>
    <v>0</v>
  </rv>
  <rv s="0">
    <fb>80.739999999999995</fb>
    <v>1</v>
  </rv>
  <rv s="0">
    <fb>81.319999999999993</fb>
    <v>1</v>
  </rv>
  <rv s="0">
    <fb>79.489999999999995</fb>
    <v>1</v>
  </rv>
  <rv s="0">
    <fb>45288</fb>
    <v>0</v>
  </rv>
  <rv s="0">
    <fb>79.84</fb>
    <v>1</v>
  </rv>
  <rv s="0">
    <fb>78.39</fb>
    <v>1</v>
  </rv>
  <rv s="0">
    <fb>45289</fb>
    <v>0</v>
  </rv>
  <rv s="0">
    <fb>76.75</fb>
    <v>1</v>
  </rv>
  <rv s="0">
    <fb>45292</fb>
    <v>0</v>
  </rv>
  <rv s="0">
    <fb>45293</fb>
    <v>0</v>
  </rv>
  <rv s="0">
    <fb>77.209999999999994</fb>
    <v>1</v>
  </rv>
  <rv s="0">
    <fb>75.599999999999994</fb>
    <v>1</v>
  </rv>
  <rv s="0">
    <fb>75.89</fb>
    <v>1</v>
  </rv>
  <rv s="0">
    <fb>45294</fb>
    <v>0</v>
  </rv>
  <rv s="0">
    <fb>78.25</fb>
    <v>1</v>
  </rv>
  <rv s="0">
    <fb>45295</fb>
    <v>0</v>
  </rv>
  <rv s="0">
    <fb>76.5</fb>
    <v>1</v>
  </rv>
  <rv s="0">
    <fb>45296</fb>
    <v>0</v>
  </rv>
  <rv s="0">
    <fb>78.760000000000005</fb>
    <v>1</v>
  </rv>
  <rv s="0">
    <fb>45299</fb>
    <v>0</v>
  </rv>
  <rv s="0">
    <fb>78.599999999999994</fb>
    <v>1</v>
  </rv>
  <rv s="0">
    <fb>78.95</fb>
    <v>1</v>
  </rv>
  <rv s="0">
    <fb>45300</fb>
    <v>0</v>
  </rv>
  <rv s="0">
    <fb>45301</fb>
    <v>0</v>
  </rv>
  <rv s="0">
    <fb>77.459999999999994</fb>
    <v>1</v>
  </rv>
  <rv s="0">
    <fb>78.73</fb>
    <v>1</v>
  </rv>
  <rv s="0">
    <fb>76.38</fb>
    <v>1</v>
  </rv>
  <rv s="0">
    <fb>45302</fb>
    <v>0</v>
  </rv>
  <rv s="0">
    <fb>77.41</fb>
    <v>1</v>
  </rv>
  <rv s="0">
    <fb>45303</fb>
    <v>0</v>
  </rv>
  <rv s="0">
    <fb>78.459999999999994</fb>
    <v>1</v>
  </rv>
  <rv s="0">
    <fb>77.930000000000007</fb>
    <v>1</v>
  </rv>
  <rv s="0">
    <fb>78.290000000000006</fb>
    <v>1</v>
  </rv>
  <rv s="0">
    <fb>45306</fb>
    <v>0</v>
  </rv>
  <rv s="0">
    <fb>45307</fb>
    <v>0</v>
  </rv>
  <rv s="0">
    <fb>78.08</fb>
    <v>1</v>
  </rv>
  <rv s="0">
    <fb>76.83</fb>
    <v>1</v>
  </rv>
  <rv s="0">
    <fb>45308</fb>
    <v>0</v>
  </rv>
  <rv s="0">
    <fb>77.88</fb>
    <v>1</v>
  </rv>
  <rv s="0">
    <fb>45309</fb>
    <v>0</v>
  </rv>
  <rv s="0">
    <fb>79.099999999999994</fb>
    <v>1</v>
  </rv>
  <rv s="0">
    <fb>45310</fb>
    <v>0</v>
  </rv>
  <rv s="0">
    <fb>78.98</fb>
    <v>1</v>
  </rv>
  <rv s="0">
    <fb>78.33</fb>
    <v>1</v>
  </rv>
  <rv s="0">
    <fb>78.56</fb>
    <v>1</v>
  </rv>
  <rv s="0">
    <fb>45313</fb>
    <v>0</v>
  </rv>
  <rv s="0">
    <fb>78.849999999999994</fb>
    <v>1</v>
  </rv>
  <rv s="0">
    <fb>80.55</fb>
    <v>1</v>
  </rv>
  <rv s="0">
    <fb>77.819999999999993</fb>
    <v>1</v>
  </rv>
  <rv s="0">
    <fb>80.06</fb>
    <v>1</v>
  </rv>
  <rv s="0">
    <fb>45314</fb>
    <v>0</v>
  </rv>
  <rv s="0">
    <fb>79.91</fb>
    <v>1</v>
  </rv>
  <rv s="0">
    <fb>80.44</fb>
    <v>1</v>
  </rv>
  <rv s="0">
    <fb>78.7</fb>
    <v>1</v>
  </rv>
  <rv s="0">
    <fb>45315</fb>
    <v>0</v>
  </rv>
  <rv s="0">
    <fb>79.739999999999995</fb>
    <v>1</v>
  </rv>
  <rv s="0">
    <fb>79.05</fb>
    <v>1</v>
  </rv>
  <rv s="0">
    <fb>80.040000000000006</fb>
    <v>1</v>
  </rv>
  <rv s="0">
    <fb>45316</fb>
    <v>0</v>
  </rv>
  <rv s="0">
    <fb>80.31</fb>
    <v>1</v>
  </rv>
  <rv s="0">
    <fb>82.56</fb>
    <v>1</v>
  </rv>
  <rv s="0">
    <fb>80.069999999999993</fb>
    <v>1</v>
  </rv>
  <rv s="0">
    <fb>82.43</fb>
    <v>1</v>
  </rv>
  <rv s="0">
    <fb>45317</fb>
    <v>0</v>
  </rv>
  <rv s="0">
    <fb>82.39</fb>
    <v>1</v>
  </rv>
  <rv s="0">
    <fb>83.55</fb>
    <v>1</v>
  </rv>
  <rv s="0">
    <fb>45320</fb>
    <v>0</v>
  </rv>
  <rv s="0">
    <fb>84.13</fb>
    <v>1</v>
  </rv>
  <rv s="0">
    <fb>84.79</fb>
    <v>1</v>
  </rv>
  <rv s="0">
    <fb>45321</fb>
    <v>0</v>
  </rv>
  <rv s="0">
    <fb>82.57</fb>
    <v>1</v>
  </rv>
  <rv s="0">
    <fb>83.25</fb>
    <v>1</v>
  </rv>
  <rv s="0">
    <fb>45322</fb>
    <v>0</v>
  </rv>
  <rv s="0">
    <fb>82.59</fb>
    <v>1</v>
  </rv>
  <rv s="0">
    <fb>82.8</fb>
    <v>1</v>
  </rv>
  <rv s="0">
    <fb>81.88</fb>
    <v>1</v>
  </rv>
  <rv s="0">
    <fb>45323</fb>
    <v>0</v>
  </rv>
  <rv s="0">
    <fb>80.67</fb>
    <v>1</v>
  </rv>
  <rv s="0">
    <fb>81.55</fb>
    <v>1</v>
  </rv>
  <rv s="0">
    <fb>45324</fb>
    <v>0</v>
  </rv>
  <rv s="0">
    <fb>78.92</fb>
    <v>1</v>
  </rv>
  <rv s="0">
    <fb>76.86</fb>
    <v>1</v>
  </rv>
  <rv s="0">
    <fb>77.33</fb>
    <v>1</v>
  </rv>
  <rv s="0">
    <fb>45327</fb>
    <v>0</v>
  </rv>
  <rv s="0">
    <fb>76.62</fb>
    <v>1</v>
  </rv>
  <rv s="0">
    <fb>45328</fb>
    <v>0</v>
  </rv>
  <rv s="0">
    <fb>77.94</fb>
    <v>1</v>
  </rv>
  <rv s="0">
    <fb>77.650000000000006</fb>
    <v>1</v>
  </rv>
  <rv s="0">
    <fb>78.59</fb>
    <v>1</v>
  </rv>
  <rv s="0">
    <fb>45329</fb>
    <v>0</v>
  </rv>
  <rv s="0">
    <fb>79.47</fb>
    <v>1</v>
  </rv>
  <rv s="0">
    <fb>45330</fb>
    <v>0</v>
  </rv>
  <rv s="0">
    <fb>79.38</fb>
    <v>1</v>
  </rv>
  <rv s="0">
    <fb>81.89</fb>
    <v>1</v>
  </rv>
  <rv s="0">
    <fb>45331</fb>
    <v>0</v>
  </rv>
  <rv s="0">
    <fb>82.46</fb>
    <v>1</v>
  </rv>
  <rv s="0">
    <fb>45334</fb>
    <v>0</v>
  </rv>
  <rv s="0">
    <fb>80.790000000000006</fb>
    <v>1</v>
  </rv>
  <rv s="0">
    <fb>82</fb>
    <v>1</v>
  </rv>
  <rv s="0">
    <fb>45335</fb>
    <v>0</v>
  </rv>
  <rv s="0">
    <fb>82.77</fb>
    <v>1</v>
  </rv>
  <rv s="0">
    <fb>45336</fb>
    <v>0</v>
  </rv>
  <rv s="0">
    <fb>81.39</fb>
    <v>1</v>
  </rv>
  <rv s="0">
    <fb>45337</fb>
    <v>0</v>
  </rv>
  <rv s="0">
    <fb>80.72</fb>
    <v>1</v>
  </rv>
  <rv s="0">
    <fb>45338</fb>
    <v>0</v>
  </rv>
  <rv s="0">
    <fb>81.900000000000006</fb>
    <v>1</v>
  </rv>
  <rv s="0">
    <fb>45341</fb>
    <v>0</v>
  </rv>
  <rv s="0">
    <fb>45342</fb>
    <v>0</v>
  </rv>
  <rv s="0">
    <fb>83.3</fb>
    <v>1</v>
  </rv>
  <rv s="0">
    <fb>82.34</fb>
    <v>1</v>
  </rv>
  <rv s="0">
    <fb>45343</fb>
    <v>0</v>
  </rv>
  <rv s="0">
    <fb>83.17</fb>
    <v>1</v>
  </rv>
  <rv s="0">
    <fb>81.67</fb>
    <v>1</v>
  </rv>
  <rv s="0">
    <fb>45344</fb>
    <v>0</v>
  </rv>
  <rv s="0">
    <fb>45345</fb>
    <v>0</v>
  </rv>
  <rv s="0">
    <fb>83.42</fb>
    <v>1</v>
  </rv>
  <rv s="0">
    <fb>83.48</fb>
    <v>1</v>
  </rv>
  <rv s="0">
    <fb>81.44</fb>
    <v>1</v>
  </rv>
  <rv s="0">
    <fb>81.62</fb>
    <v>1</v>
  </rv>
  <rv s="0">
    <fb>45348</fb>
    <v>0</v>
  </rv>
  <rv s="0">
    <fb>81.02</fb>
    <v>1</v>
  </rv>
  <rv s="0">
    <fb>45349</fb>
    <v>0</v>
  </rv>
  <rv s="0">
    <fb>82.55</fb>
    <v>1</v>
  </rv>
  <rv s="0">
    <fb>83.65</fb>
    <v>1</v>
  </rv>
  <rv s="0">
    <fb>45350</fb>
    <v>0</v>
  </rv>
  <rv s="0">
    <fb>83.4</fb>
    <v>1</v>
  </rv>
  <rv s="0">
    <fb>84.3</fb>
    <v>1</v>
  </rv>
  <rv s="0">
    <fb>83.68</fb>
    <v>1</v>
  </rv>
  <rv s="0">
    <fb>45351</fb>
    <v>0</v>
  </rv>
  <rv s="0">
    <fb>83.62</fb>
    <v>1</v>
  </rv>
  <rv s="0">
    <fb>45352</fb>
    <v>0</v>
  </rv>
  <rv s="0">
    <fb>81.81</fb>
    <v>1</v>
  </rv>
  <rv s="0">
    <fb>45355</fb>
    <v>0</v>
  </rv>
  <rv s="0">
    <fb>45356</fb>
    <v>0</v>
  </rv>
  <rv s="0">
    <fb>45357</fb>
    <v>0</v>
  </rv>
  <rv s="0">
    <fb>82.08</fb>
    <v>1</v>
  </rv>
  <rv s="0">
    <fb>82.96</fb>
    <v>1</v>
  </rv>
  <rv s="0">
    <fb>45358</fb>
    <v>0</v>
  </rv>
  <rv s="0">
    <fb>82.07</fb>
    <v>1</v>
  </rv>
  <rv s="0">
    <fb>45359</fb>
    <v>0</v>
  </rv>
  <rv s="0">
    <fb>83.34</fb>
    <v>1</v>
  </rv>
  <rv s="0">
    <fb>45362</fb>
    <v>0</v>
  </rv>
  <rv s="0">
    <fb>81.91</fb>
    <v>1</v>
  </rv>
  <rv s="0">
    <fb>81.08</fb>
    <v>1</v>
  </rv>
  <rv s="0">
    <fb>45363</fb>
    <v>0</v>
  </rv>
  <rv s="0">
    <fb>81.92</fb>
    <v>1</v>
  </rv>
  <rv s="0">
    <fb>45364</fb>
    <v>0</v>
  </rv>
  <rv s="0">
    <fb>45365</fb>
    <v>0</v>
  </rv>
  <rv s="0">
    <fb>45366</fb>
    <v>0</v>
  </rv>
  <rv s="0">
    <fb>45369</fb>
    <v>0</v>
  </rv>
  <rv s="0">
    <fb>87.18</fb>
    <v>1</v>
  </rv>
  <rv s="0">
    <fb>85.26</fb>
    <v>1</v>
  </rv>
  <rv s="0">
    <fb>86.89</fb>
    <v>1</v>
  </rv>
  <rv s="0">
    <fb>45370</fb>
    <v>0</v>
  </rv>
  <rv s="0">
    <fb>87.71</fb>
    <v>1</v>
  </rv>
  <rv s="0">
    <fb>86.49</fb>
    <v>1</v>
  </rv>
  <rv s="0">
    <fb>87.38</fb>
    <v>1</v>
  </rv>
  <rv s="0">
    <fb>45371</fb>
    <v>0</v>
  </rv>
  <rv s="0">
    <fb>85.95</fb>
    <v>1</v>
  </rv>
  <rv s="0">
    <fb>45372</fb>
    <v>0</v>
  </rv>
  <rv s="0">
    <fb>85.05</fb>
    <v>1</v>
  </rv>
  <rv s="0">
    <fb>45373</fb>
    <v>0</v>
  </rv>
  <rv s="0">
    <fb>45376</fb>
    <v>0</v>
  </rv>
  <rv s="0">
    <fb>86.75</fb>
    <v>1</v>
  </rv>
  <rv s="0">
    <fb>45377</fb>
    <v>0</v>
  </rv>
  <rv s="0">
    <fb>86.77</fb>
    <v>1</v>
  </rv>
  <rv s="0">
    <fb>87.05</fb>
    <v>1</v>
  </rv>
  <rv s="0">
    <fb>45378</fb>
    <v>0</v>
  </rv>
  <rv s="0">
    <fb>85.97</fb>
    <v>1</v>
  </rv>
  <rv s="0">
    <fb>45379</fb>
    <v>0</v>
  </rv>
  <rv s="0">
    <fb>86.53</fb>
    <v>1</v>
  </rv>
  <rv s="0">
    <fb>86.32</fb>
    <v>1</v>
  </rv>
  <rv s="0">
    <fb>87.48</fb>
    <v>1</v>
  </rv>
  <rv s="0">
    <fb>45380</fb>
    <v>0</v>
  </rv>
  <rv s="0">
    <fb>45383</fb>
    <v>0</v>
  </rv>
  <rv s="0">
    <fb>87.99</fb>
    <v>1</v>
  </rv>
  <rv s="0">
    <fb>45384</fb>
    <v>0</v>
  </rv>
  <rv s="0">
    <fb>89.28</fb>
    <v>1</v>
  </rv>
  <rv s="0">
    <fb>88.92</fb>
    <v>1</v>
  </rv>
  <rv s="0">
    <fb>45385</fb>
    <v>0</v>
  </rv>
  <rv s="0">
    <fb>89.21</fb>
    <v>1</v>
  </rv>
  <rv s="0">
    <fb>88.68</fb>
    <v>1</v>
  </rv>
  <rv s="0">
    <fb>89.35</fb>
    <v>1</v>
  </rv>
  <rv s="0">
    <fb>45386</fb>
    <v>0</v>
  </rv>
  <rv s="0">
    <fb>89.5</fb>
    <v>1</v>
  </rv>
  <rv s="0">
    <fb>91.3</fb>
    <v>1</v>
  </rv>
  <rv s="0">
    <fb>88.73</fb>
    <v>1</v>
  </rv>
  <rv s="0">
    <fb>45387</fb>
    <v>0</v>
  </rv>
  <rv s="0">
    <fb>91.01</fb>
    <v>1</v>
  </rv>
  <rv s="0">
    <fb>91.91</fb>
    <v>1</v>
  </rv>
  <rv s="0">
    <fb>90.57</fb>
    <v>1</v>
  </rv>
  <rv s="0">
    <fb>91.17</fb>
    <v>1</v>
  </rv>
  <rv s="0">
    <fb>45390</fb>
    <v>0</v>
  </rv>
  <rv s="0">
    <fb>90.31</fb>
    <v>1</v>
  </rv>
  <rv s="0">
    <fb>91.1</fb>
    <v>1</v>
  </rv>
  <rv s="0">
    <fb>88.8</fb>
    <v>1</v>
  </rv>
  <rv s="0">
    <fb>90.38</fb>
    <v>1</v>
  </rv>
  <rv s="0">
    <fb>45391</fb>
    <v>0</v>
  </rv>
  <rv s="0">
    <fb>90.55</fb>
    <v>1</v>
  </rv>
  <rv s="0">
    <fb>90.94</fb>
    <v>1</v>
  </rv>
  <rv s="0">
    <fb>89.27</fb>
    <v>1</v>
  </rv>
  <rv s="0">
    <fb>89.42</fb>
    <v>1</v>
  </rv>
  <rv s="0">
    <fb>45392</fb>
    <v>0</v>
  </rv>
  <rv s="0">
    <fb>89.51</fb>
    <v>1</v>
  </rv>
  <rv s="0">
    <fb>88.83</fb>
    <v>1</v>
  </rv>
  <rv s="0">
    <fb>45393</fb>
    <v>0</v>
  </rv>
  <rv s="0">
    <fb>89.37</fb>
    <v>1</v>
  </rv>
  <rv s="0">
    <fb>89.74</fb>
    <v>1</v>
  </rv>
  <rv s="0">
    <fb>45394</fb>
    <v>0</v>
  </rv>
  <rv s="0">
    <fb>90.29</fb>
    <v>1</v>
  </rv>
  <rv s="0">
    <fb>92.18</fb>
    <v>1</v>
  </rv>
  <rv s="0">
    <fb>90.01</fb>
    <v>1</v>
  </rv>
  <rv s="0">
    <fb>90.45</fb>
    <v>1</v>
  </rv>
  <rv s="0">
    <fb>45397</fb>
    <v>0</v>
  </rv>
  <rv s="0">
    <fb>90.37</fb>
    <v>1</v>
  </rv>
  <rv s="0">
    <fb>91.15</fb>
    <v>1</v>
  </rv>
  <rv s="0">
    <fb>45398</fb>
    <v>0</v>
  </rv>
  <rv s="0">
    <fb>90.43</fb>
    <v>1</v>
  </rv>
  <rv s="0">
    <fb>90.83</fb>
    <v>1</v>
  </rv>
  <rv s="0">
    <fb>90.02</fb>
    <v>1</v>
  </rv>
  <rv s="0">
    <fb>45399</fb>
    <v>0</v>
  </rv>
  <rv s="0">
    <fb>90.15</fb>
    <v>1</v>
  </rv>
  <rv s="0">
    <fb>87.14</fb>
    <v>1</v>
  </rv>
  <rv s="0">
    <fb>87.29</fb>
    <v>1</v>
  </rv>
  <rv s="0">
    <fb>45400</fb>
    <v>0</v>
  </rv>
  <rv s="0">
    <fb>87.44</fb>
    <v>1</v>
  </rv>
  <rv s="0">
    <fb>87.79</fb>
    <v>1</v>
  </rv>
  <rv s="0">
    <fb>86.1</fb>
    <v>1</v>
  </rv>
  <rv s="0">
    <fb>87.11</fb>
    <v>1</v>
  </rv>
  <rv s="0">
    <fb>45401</fb>
    <v>0</v>
  </rv>
  <rv s="0">
    <fb>86.96</fb>
    <v>1</v>
  </rv>
  <rv s="0">
    <fb>90.78</fb>
    <v>1</v>
  </rv>
  <rv s="0">
    <fb>45404</fb>
    <v>0</v>
  </rv>
  <rv s="0">
    <fb>87.04</fb>
    <v>1</v>
  </rv>
  <rv s="0">
    <fb>87.25</fb>
    <v>1</v>
  </rv>
  <rv s="0">
    <fb>87</fb>
    <v>1</v>
  </rv>
  <rv s="0">
    <fb>45405</fb>
    <v>0</v>
  </rv>
  <rv s="0">
    <fb>88.42</fb>
    <v>1</v>
  </rv>
  <rv s="0">
    <fb>45406</fb>
    <v>0</v>
  </rv>
  <rv s="0">
    <fb>88.02</fb>
    <v>1</v>
  </rv>
  <rv s="0">
    <fb>45407</fb>
    <v>0</v>
  </rv>
  <rv s="0">
    <fb>89.26</fb>
    <v>1</v>
  </rv>
  <rv s="0">
    <fb>89.01</fb>
    <v>1</v>
  </rv>
  <rv s="0">
    <fb>45408</fb>
    <v>0</v>
  </rv>
  <rv s="0">
    <fb>45411</fb>
    <v>0</v>
  </rv>
  <rv s="0">
    <fb>88.4</fb>
    <v>1</v>
  </rv>
  <rv s="0">
    <fb>45412</fb>
    <v>0</v>
  </rv>
  <rv s="0">
    <fb>87.86</fb>
    <v>1</v>
  </rv>
  <rv s="0">
    <fb>45413</fb>
    <v>0</v>
  </rv>
  <rv s="0">
    <fb>85.96</fb>
    <v>1</v>
  </rv>
  <rv s="0">
    <fb>45414</fb>
    <v>0</v>
  </rv>
  <rv s="0">
    <fb>45415</fb>
    <v>0</v>
  </rv>
  <rv s="0">
    <fb>45418</fb>
    <v>0</v>
  </rv>
  <rv s="0">
    <fb>82.76</fb>
    <v>1</v>
  </rv>
  <rv s="0">
    <fb>83.33</fb>
    <v>1</v>
  </rv>
  <rv s="0">
    <fb>45419</fb>
    <v>0</v>
  </rv>
  <rv s="0">
    <fb>45420</fb>
    <v>0</v>
  </rv>
  <rv s="0">
    <fb>81.72</fb>
    <v>1</v>
  </rv>
  <rv s="0">
    <fb>45421</fb>
    <v>0</v>
  </rv>
  <rv s="0">
    <fb>83.46</fb>
    <v>1</v>
  </rv>
  <rv s="0">
    <fb>45422</fb>
    <v>0</v>
  </rv>
  <rv s="0">
    <fb>84.21</fb>
    <v>1</v>
  </rv>
  <rv s="0">
    <fb>82.71</fb>
    <v>1</v>
  </rv>
  <rv s="0">
    <fb>82.79</fb>
    <v>1</v>
  </rv>
  <rv s="0">
    <fb>45425</fb>
    <v>0</v>
  </rv>
  <rv s="0">
    <fb>45426</fb>
    <v>0</v>
  </rv>
  <rv s="0">
    <fb>45427</fb>
    <v>0</v>
  </rv>
  <rv s="0">
    <fb>83.07</fb>
    <v>1</v>
  </rv>
  <rv s="0">
    <fb>81.06</fb>
    <v>1</v>
  </rv>
  <rv s="0">
    <fb>45428</fb>
    <v>0</v>
  </rv>
  <rv s="0">
    <fb>82.31</fb>
    <v>1</v>
  </rv>
  <rv s="0">
    <fb>45429</fb>
    <v>0</v>
  </rv>
  <rv s="0">
    <fb>84.04</fb>
    <v>1</v>
  </rv>
  <rv s="0">
    <fb>45432</fb>
    <v>0</v>
  </rv>
  <rv s="0">
    <fb>84</fb>
    <v>1</v>
  </rv>
  <rv s="0">
    <fb>83.71</fb>
    <v>1</v>
  </rv>
  <rv s="0">
    <fb>45433</fb>
    <v>0</v>
  </rv>
  <rv s="0">
    <fb>83.7</fb>
    <v>1</v>
  </rv>
  <rv s="0">
    <fb>82.06</fb>
    <v>1</v>
  </rv>
  <rv s="0">
    <fb>45434</fb>
    <v>0</v>
  </rv>
  <rv s="0">
    <fb>82.48</fb>
    <v>1</v>
  </rv>
  <rv s="0">
    <fb>81.58</fb>
    <v>1</v>
  </rv>
  <rv s="0">
    <fb>45435</fb>
    <v>0</v>
  </rv>
  <rv s="0">
    <fb>80.930000000000007</fb>
    <v>1</v>
  </rv>
  <rv s="0">
    <fb>45436</fb>
    <v>0</v>
  </rv>
  <rv s="0">
    <fb>81.540000000000006</fb>
    <v>1</v>
  </rv>
  <rv s="0">
    <fb>80.66</fb>
    <v>1</v>
  </rv>
  <rv s="0">
    <fb>82.12</fb>
    <v>1</v>
  </rv>
  <rv s="2">
    <v>2</v>
    <v>UKOIL</v>
    <v>Daily</v>
    <v>44707</v>
    <v>45438</v>
    <v>0</v>
    <v>1</v>
    <v>638521056000000000,638530204974177901,0</v>
    <v>0</v>
    <v>auvx3m</v>
    <v>UKOIL</v>
    <v>1</v>
    <v>2</v>
    <v>3</v>
    <v>4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error">
    <k n="errorType" t="i"/>
    <k n="sub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2</v>
      <v>1</v>
      <v>2</v>
      <v>2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ow" t="i"/>
    <k n="Date" t="i"/>
    <k n="High" t="i"/>
    <k n="Open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yy"/>
    </x:dxf>
  </dxfs>
  <richProperties>
    <rPr n="NumberFormat" t="s"/>
  </richProperties>
  <richStyles>
    <rSty dxfid="1"/>
    <rSty dxfid="0">
      <rpv i="0">_([$$-en-US]* #,##0.00_);_([$$-en-US]* (#,##0.00);_([$$-en-US]* "-"??_);_(@_)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EA5C28-C205-47E4-8D59-AAE3DEA17094}" name="BrentCrudeOilPrice" displayName="BrentCrudeOilPrice" ref="A1:E503" tableType="queryTable" totalsRowShown="0" headerRowDxfId="1">
  <autoFilter ref="A1:E503" xr:uid="{37EA5C28-C205-47E4-8D59-AAE3DEA17094}"/>
  <tableColumns count="5">
    <tableColumn id="1" xr3:uid="{B06F9D91-196B-4ED0-9D45-646109867A62}" uniqueName="1" name="Fecha" queryTableFieldId="1" dataDxfId="0"/>
    <tableColumn id="2" xr3:uid="{ADCE6933-EFCE-456A-A00D-0990F6BE81D5}" uniqueName="2" name="Apertura" queryTableFieldId="2"/>
    <tableColumn id="3" xr3:uid="{274C0C66-D06B-480D-9BF4-FCC5EAA173E7}" uniqueName="3" name="Alto" queryTableFieldId="3"/>
    <tableColumn id="4" xr3:uid="{34E175F3-B039-4C1B-8BEA-ADCCCC8A9926}" uniqueName="4" name="Bajo" queryTableFieldId="4"/>
    <tableColumn id="5" xr3:uid="{58E7AC51-9A18-4BCA-8740-129317500E37}" uniqueName="5" name="Cierr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4-06-02T09:47:54.35" personId="{539FBD7E-DB88-41DA-AEB9-02140A2D6607}" id="{B3C15CE3-FB2E-4B4E-A844-C1D8117E2E59}">
    <text>Para EPAM</text>
  </threadedComment>
  <threadedComment ref="P1" dT="2024-06-02T09:47:45.22" personId="{539FBD7E-DB88-41DA-AEB9-02140A2D6607}" id="{8BF766F8-3BD1-4EA7-9A0E-F88CA1E23D7D}">
    <text>Para ECM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44F2-EBE9-46B9-AAE8-EB2471C36673}">
  <dimension ref="A1:J523"/>
  <sheetViews>
    <sheetView topLeftCell="A385" workbookViewId="0">
      <selection sqref="A1:E523"/>
    </sheetView>
  </sheetViews>
  <sheetFormatPr baseColWidth="10" defaultRowHeight="14.4" x14ac:dyDescent="0.3"/>
  <cols>
    <col min="1" max="1" width="12.109375" bestFit="1" customWidth="1"/>
    <col min="2" max="4" width="8.6640625" bestFit="1" customWidth="1"/>
    <col min="5" max="5" width="9.21875" bestFit="1" customWidth="1"/>
  </cols>
  <sheetData>
    <row r="1" spans="1:10" x14ac:dyDescent="0.3">
      <c r="A1" s="1" t="str" cm="1">
        <f t="array" aca="1" ref="A1:E523" ca="1">_xlfn.STOCKHISTORY("UKOIL","2022/05/26","2024/05/26",0,1,0,2,3,4,1)</f>
        <v>Fecha</v>
      </c>
      <c r="B1" s="1" t="str">
        <f ca="1"/>
        <v>Apertura</v>
      </c>
      <c r="C1" s="2" t="str">
        <f ca="1"/>
        <v>Alto</v>
      </c>
      <c r="D1" s="1" t="str">
        <f ca="1"/>
        <v>Bajo</v>
      </c>
      <c r="E1" s="2" t="str">
        <f ca="1"/>
        <v>Cierre</v>
      </c>
      <c r="H1" s="2"/>
      <c r="I1" s="2"/>
    </row>
    <row r="2" spans="1:10" x14ac:dyDescent="0.3">
      <c r="A2" s="3" vm="1">
        <f ca="1"/>
        <v>44707</v>
      </c>
      <c r="B2" vm="2">
        <f ca="1"/>
        <v>114.45</v>
      </c>
      <c r="C2" vm="3">
        <f ca="1"/>
        <v>118</v>
      </c>
      <c r="D2" vm="4">
        <f ca="1"/>
        <v>113.84</v>
      </c>
      <c r="E2" vm="5">
        <f ca="1"/>
        <v>117.4</v>
      </c>
      <c r="J2" s="3"/>
    </row>
    <row r="3" spans="1:10" x14ac:dyDescent="0.3">
      <c r="A3" s="3" vm="6">
        <f ca="1"/>
        <v>44708</v>
      </c>
      <c r="B3" vm="7">
        <f ca="1"/>
        <v>117.54</v>
      </c>
      <c r="C3" vm="8">
        <f ca="1"/>
        <v>119.73</v>
      </c>
      <c r="D3" vm="9">
        <f ca="1"/>
        <v>116.68</v>
      </c>
      <c r="E3" vm="10">
        <f ca="1"/>
        <v>119.43</v>
      </c>
    </row>
    <row r="4" spans="1:10" x14ac:dyDescent="0.3">
      <c r="A4" s="3" vm="11">
        <f ca="1"/>
        <v>44711</v>
      </c>
      <c r="B4" t="e" vm="12">
        <f ca="1"/>
        <v>#N/A</v>
      </c>
      <c r="C4" t="e" vm="12">
        <f ca="1"/>
        <v>#N/A</v>
      </c>
      <c r="D4" t="e" vm="12">
        <f ca="1"/>
        <v>#N/A</v>
      </c>
      <c r="E4" t="e" vm="12">
        <f ca="1"/>
        <v>#N/A</v>
      </c>
    </row>
    <row r="5" spans="1:10" x14ac:dyDescent="0.3">
      <c r="A5" s="3" vm="13">
        <f ca="1"/>
        <v>44712</v>
      </c>
      <c r="B5" vm="14">
        <f ca="1"/>
        <v>119.47</v>
      </c>
      <c r="C5" vm="15">
        <f ca="1"/>
        <v>124.13</v>
      </c>
      <c r="D5" vm="16">
        <f ca="1"/>
        <v>119.36</v>
      </c>
      <c r="E5" vm="17">
        <f ca="1"/>
        <v>122.84</v>
      </c>
    </row>
    <row r="6" spans="1:10" x14ac:dyDescent="0.3">
      <c r="A6" s="3" vm="18">
        <f ca="1"/>
        <v>44713</v>
      </c>
      <c r="B6" vm="19">
        <f ca="1"/>
        <v>116.63</v>
      </c>
      <c r="C6" vm="20">
        <f ca="1"/>
        <v>118.58</v>
      </c>
      <c r="D6" vm="21">
        <f ca="1"/>
        <v>115.43</v>
      </c>
      <c r="E6" vm="22">
        <f ca="1"/>
        <v>116.29</v>
      </c>
    </row>
    <row r="7" spans="1:10" x14ac:dyDescent="0.3">
      <c r="A7" s="3" vm="23">
        <f ca="1"/>
        <v>44714</v>
      </c>
      <c r="B7" vm="24">
        <f ca="1"/>
        <v>115.82</v>
      </c>
      <c r="C7" vm="25">
        <f ca="1"/>
        <v>118.44</v>
      </c>
      <c r="D7" vm="26">
        <f ca="1"/>
        <v>112.48</v>
      </c>
      <c r="E7" vm="27">
        <f ca="1"/>
        <v>117.61</v>
      </c>
    </row>
    <row r="8" spans="1:10" x14ac:dyDescent="0.3">
      <c r="A8" s="3" vm="28">
        <f ca="1"/>
        <v>44715</v>
      </c>
      <c r="B8" vm="29">
        <f ca="1"/>
        <v>118.26</v>
      </c>
      <c r="C8" vm="30">
        <f ca="1"/>
        <v>121.44</v>
      </c>
      <c r="D8" vm="31">
        <f ca="1"/>
        <v>116.08</v>
      </c>
      <c r="E8" vm="32">
        <f ca="1"/>
        <v>119.72</v>
      </c>
    </row>
    <row r="9" spans="1:10" x14ac:dyDescent="0.3">
      <c r="A9" s="3" vm="33">
        <f ca="1"/>
        <v>44718</v>
      </c>
      <c r="B9" vm="34">
        <f ca="1"/>
        <v>121.35</v>
      </c>
      <c r="C9" vm="35">
        <f ca="1"/>
        <v>121.89</v>
      </c>
      <c r="D9" vm="36">
        <f ca="1"/>
        <v>118.76</v>
      </c>
      <c r="E9" vm="37">
        <f ca="1"/>
        <v>119.51</v>
      </c>
    </row>
    <row r="10" spans="1:10" x14ac:dyDescent="0.3">
      <c r="A10" s="3" vm="38">
        <f ca="1"/>
        <v>44719</v>
      </c>
      <c r="B10" vm="39">
        <f ca="1"/>
        <v>120.08</v>
      </c>
      <c r="C10" vm="40">
        <f ca="1"/>
        <v>121.38</v>
      </c>
      <c r="D10" vm="41">
        <f ca="1"/>
        <v>118.56</v>
      </c>
      <c r="E10" vm="42">
        <f ca="1"/>
        <v>120.57</v>
      </c>
    </row>
    <row r="11" spans="1:10" x14ac:dyDescent="0.3">
      <c r="A11" s="3" vm="43">
        <f ca="1"/>
        <v>44720</v>
      </c>
      <c r="B11" vm="44">
        <f ca="1"/>
        <v>121.03</v>
      </c>
      <c r="C11" vm="45">
        <f ca="1"/>
        <v>124.41</v>
      </c>
      <c r="D11" vm="46">
        <f ca="1"/>
        <v>120.46</v>
      </c>
      <c r="E11" vm="47">
        <f ca="1"/>
        <v>123.58</v>
      </c>
    </row>
    <row r="12" spans="1:10" x14ac:dyDescent="0.3">
      <c r="A12" s="3" vm="48">
        <f ca="1"/>
        <v>44721</v>
      </c>
      <c r="B12" vm="49">
        <f ca="1"/>
        <v>123.89</v>
      </c>
      <c r="C12" vm="50">
        <f ca="1"/>
        <v>124.33</v>
      </c>
      <c r="D12" vm="51">
        <f ca="1"/>
        <v>122.5</v>
      </c>
      <c r="E12" vm="52">
        <f ca="1"/>
        <v>123.07</v>
      </c>
    </row>
    <row r="13" spans="1:10" x14ac:dyDescent="0.3">
      <c r="A13" s="3" vm="53">
        <f ca="1"/>
        <v>44722</v>
      </c>
      <c r="B13" vm="54">
        <f ca="1"/>
        <v>122.94</v>
      </c>
      <c r="C13" vm="50">
        <f ca="1"/>
        <v>124.33</v>
      </c>
      <c r="D13" vm="55">
        <f ca="1"/>
        <v>119.87</v>
      </c>
      <c r="E13" vm="56">
        <f ca="1"/>
        <v>122.01</v>
      </c>
    </row>
    <row r="14" spans="1:10" x14ac:dyDescent="0.3">
      <c r="A14" s="3" vm="57">
        <f ca="1"/>
        <v>44725</v>
      </c>
      <c r="B14" vm="58">
        <f ca="1"/>
        <v>121.69</v>
      </c>
      <c r="C14" vm="59">
        <f ca="1"/>
        <v>123.61</v>
      </c>
      <c r="D14" vm="60">
        <f ca="1"/>
        <v>118.95</v>
      </c>
      <c r="E14" vm="61">
        <f ca="1"/>
        <v>122.27</v>
      </c>
    </row>
    <row r="15" spans="1:10" x14ac:dyDescent="0.3">
      <c r="A15" s="3" vm="62">
        <f ca="1"/>
        <v>44726</v>
      </c>
      <c r="B15" vm="51">
        <f ca="1"/>
        <v>122.5</v>
      </c>
      <c r="C15" vm="63">
        <f ca="1"/>
        <v>125.18</v>
      </c>
      <c r="D15" vm="64">
        <f ca="1"/>
        <v>118.94</v>
      </c>
      <c r="E15" vm="65">
        <f ca="1"/>
        <v>121.17</v>
      </c>
    </row>
    <row r="16" spans="1:10" x14ac:dyDescent="0.3">
      <c r="A16" s="3" vm="66">
        <f ca="1"/>
        <v>44727</v>
      </c>
      <c r="B16" vm="67">
        <f ca="1"/>
        <v>121</v>
      </c>
      <c r="C16" vm="68">
        <f ca="1"/>
        <v>121.85</v>
      </c>
      <c r="D16" vm="69">
        <f ca="1"/>
        <v>117.75</v>
      </c>
      <c r="E16" vm="70">
        <f ca="1"/>
        <v>118.51</v>
      </c>
    </row>
    <row r="17" spans="1:5" x14ac:dyDescent="0.3">
      <c r="A17" s="3" vm="71">
        <f ca="1"/>
        <v>44728</v>
      </c>
      <c r="B17" vm="72">
        <f ca="1"/>
        <v>119.12</v>
      </c>
      <c r="C17" vm="73">
        <f ca="1"/>
        <v>120.28</v>
      </c>
      <c r="D17" vm="74">
        <f ca="1"/>
        <v>115.58</v>
      </c>
      <c r="E17" vm="75">
        <f ca="1"/>
        <v>119.81</v>
      </c>
    </row>
    <row r="18" spans="1:5" x14ac:dyDescent="0.3">
      <c r="A18" s="3" vm="76">
        <f ca="1"/>
        <v>44729</v>
      </c>
      <c r="B18" vm="77">
        <f ca="1"/>
        <v>119.34</v>
      </c>
      <c r="C18" vm="78">
        <f ca="1"/>
        <v>121.25</v>
      </c>
      <c r="D18" vm="79">
        <f ca="1"/>
        <v>111.72</v>
      </c>
      <c r="E18" vm="80">
        <f ca="1"/>
        <v>113.12</v>
      </c>
    </row>
    <row r="19" spans="1:5" x14ac:dyDescent="0.3">
      <c r="A19" s="3" vm="81">
        <f ca="1"/>
        <v>44732</v>
      </c>
      <c r="B19" t="e" vm="12">
        <f ca="1"/>
        <v>#N/A</v>
      </c>
      <c r="C19" t="e" vm="12">
        <f ca="1"/>
        <v>#N/A</v>
      </c>
      <c r="D19" t="e" vm="12">
        <f ca="1"/>
        <v>#N/A</v>
      </c>
      <c r="E19" t="e" vm="12">
        <f ca="1"/>
        <v>#N/A</v>
      </c>
    </row>
    <row r="20" spans="1:5" x14ac:dyDescent="0.3">
      <c r="A20" s="3" vm="82">
        <f ca="1"/>
        <v>44733</v>
      </c>
      <c r="B20" vm="83">
        <f ca="1"/>
        <v>113.8</v>
      </c>
      <c r="C20" vm="84">
        <f ca="1"/>
        <v>116.25</v>
      </c>
      <c r="D20" vm="85">
        <f ca="1"/>
        <v>111.57</v>
      </c>
      <c r="E20" vm="86">
        <f ca="1"/>
        <v>114.65</v>
      </c>
    </row>
    <row r="21" spans="1:5" x14ac:dyDescent="0.3">
      <c r="A21" s="3" vm="87">
        <f ca="1"/>
        <v>44734</v>
      </c>
      <c r="B21" vm="88">
        <f ca="1"/>
        <v>114.57</v>
      </c>
      <c r="C21" vm="88">
        <f ca="1"/>
        <v>114.57</v>
      </c>
      <c r="D21" vm="89">
        <f ca="1"/>
        <v>107.03</v>
      </c>
      <c r="E21" vm="90">
        <f ca="1"/>
        <v>111.74</v>
      </c>
    </row>
    <row r="22" spans="1:5" x14ac:dyDescent="0.3">
      <c r="A22" s="3" vm="91">
        <f ca="1"/>
        <v>44735</v>
      </c>
      <c r="B22" vm="92">
        <f ca="1"/>
        <v>110.22</v>
      </c>
      <c r="C22" vm="93">
        <f ca="1"/>
        <v>112.69</v>
      </c>
      <c r="D22" vm="94">
        <f ca="1"/>
        <v>108.11</v>
      </c>
      <c r="E22" vm="95">
        <f ca="1"/>
        <v>110.05</v>
      </c>
    </row>
    <row r="23" spans="1:5" x14ac:dyDescent="0.3">
      <c r="A23" s="3" vm="96">
        <f ca="1"/>
        <v>44736</v>
      </c>
      <c r="B23" vm="97">
        <f ca="1"/>
        <v>109.81</v>
      </c>
      <c r="C23" vm="98">
        <f ca="1"/>
        <v>113.99</v>
      </c>
      <c r="D23" vm="99">
        <f ca="1"/>
        <v>109.27</v>
      </c>
      <c r="E23" vm="80">
        <f ca="1"/>
        <v>113.12</v>
      </c>
    </row>
    <row r="24" spans="1:5" x14ac:dyDescent="0.3">
      <c r="A24" s="3" vm="100">
        <f ca="1"/>
        <v>44739</v>
      </c>
      <c r="B24" vm="101">
        <f ca="1"/>
        <v>112.46</v>
      </c>
      <c r="C24" vm="102">
        <f ca="1"/>
        <v>116.04</v>
      </c>
      <c r="D24" vm="103">
        <f ca="1"/>
        <v>111.25</v>
      </c>
      <c r="E24" vm="104">
        <f ca="1"/>
        <v>115.09</v>
      </c>
    </row>
    <row r="25" spans="1:5" x14ac:dyDescent="0.3">
      <c r="A25" s="3" vm="105">
        <f ca="1"/>
        <v>44740</v>
      </c>
      <c r="B25" vm="106">
        <f ca="1"/>
        <v>115.84</v>
      </c>
      <c r="C25" vm="107">
        <f ca="1"/>
        <v>118.24</v>
      </c>
      <c r="D25" vm="108">
        <f ca="1"/>
        <v>115.4</v>
      </c>
      <c r="E25" vm="109">
        <f ca="1"/>
        <v>117.98</v>
      </c>
    </row>
    <row r="26" spans="1:5" x14ac:dyDescent="0.3">
      <c r="A26" s="3" vm="110">
        <f ca="1"/>
        <v>44741</v>
      </c>
      <c r="B26" vm="111">
        <f ca="1"/>
        <v>117.96</v>
      </c>
      <c r="C26" vm="112">
        <f ca="1"/>
        <v>120.38</v>
      </c>
      <c r="D26" vm="113">
        <f ca="1"/>
        <v>115.41</v>
      </c>
      <c r="E26" vm="114">
        <f ca="1"/>
        <v>116.26</v>
      </c>
    </row>
    <row r="27" spans="1:5" x14ac:dyDescent="0.3">
      <c r="A27" s="3" vm="115">
        <f ca="1"/>
        <v>44742</v>
      </c>
      <c r="B27" vm="102">
        <f ca="1"/>
        <v>116.04</v>
      </c>
      <c r="C27" vm="116">
        <f ca="1"/>
        <v>116.33</v>
      </c>
      <c r="D27" vm="117">
        <f ca="1"/>
        <v>115</v>
      </c>
      <c r="E27" vm="118">
        <f ca="1"/>
        <v>114.81</v>
      </c>
    </row>
    <row r="28" spans="1:5" x14ac:dyDescent="0.3">
      <c r="A28" s="3" vm="119">
        <f ca="1"/>
        <v>44743</v>
      </c>
      <c r="B28" vm="120">
        <f ca="1"/>
        <v>109.46</v>
      </c>
      <c r="C28" vm="121">
        <f ca="1"/>
        <v>112.42</v>
      </c>
      <c r="D28" vm="122">
        <f ca="1"/>
        <v>108.01</v>
      </c>
      <c r="E28" vm="123">
        <f ca="1"/>
        <v>111.63</v>
      </c>
    </row>
    <row r="29" spans="1:5" x14ac:dyDescent="0.3">
      <c r="A29" s="3" vm="124">
        <f ca="1"/>
        <v>44746</v>
      </c>
      <c r="B29" t="e" vm="12">
        <f ca="1"/>
        <v>#N/A</v>
      </c>
      <c r="C29" t="e" vm="12">
        <f ca="1"/>
        <v>#N/A</v>
      </c>
      <c r="D29" t="e" vm="12">
        <f ca="1"/>
        <v>#N/A</v>
      </c>
      <c r="E29" t="e" vm="12">
        <f ca="1"/>
        <v>#N/A</v>
      </c>
    </row>
    <row r="30" spans="1:5" x14ac:dyDescent="0.3">
      <c r="A30" s="3" vm="125">
        <f ca="1"/>
        <v>44747</v>
      </c>
      <c r="B30" vm="126">
        <f ca="1"/>
        <v>111.61</v>
      </c>
      <c r="C30" vm="127">
        <f ca="1"/>
        <v>114.69</v>
      </c>
      <c r="D30" vm="128">
        <f ca="1"/>
        <v>101.11</v>
      </c>
      <c r="E30" vm="129">
        <f ca="1"/>
        <v>102.77</v>
      </c>
    </row>
    <row r="31" spans="1:5" x14ac:dyDescent="0.3">
      <c r="A31" s="3" vm="130">
        <f ca="1"/>
        <v>44748</v>
      </c>
      <c r="B31" vm="131">
        <f ca="1"/>
        <v>104</v>
      </c>
      <c r="C31" vm="132">
        <f ca="1"/>
        <v>105.8</v>
      </c>
      <c r="D31" vm="133">
        <f ca="1"/>
        <v>98.51</v>
      </c>
      <c r="E31" vm="134">
        <f ca="1"/>
        <v>100.69</v>
      </c>
    </row>
    <row r="32" spans="1:5" x14ac:dyDescent="0.3">
      <c r="A32" s="3" vm="135">
        <f ca="1"/>
        <v>44749</v>
      </c>
      <c r="B32" vm="136">
        <f ca="1"/>
        <v>99.96</v>
      </c>
      <c r="C32" vm="137">
        <f ca="1"/>
        <v>106.35</v>
      </c>
      <c r="D32" vm="138">
        <f ca="1"/>
        <v>98.47</v>
      </c>
      <c r="E32" vm="139">
        <f ca="1"/>
        <v>104.65</v>
      </c>
    </row>
    <row r="33" spans="1:5" x14ac:dyDescent="0.3">
      <c r="A33" s="3" vm="140">
        <f ca="1"/>
        <v>44750</v>
      </c>
      <c r="B33" vm="141">
        <f ca="1"/>
        <v>104.49</v>
      </c>
      <c r="C33" vm="142">
        <f ca="1"/>
        <v>107.45</v>
      </c>
      <c r="D33" vm="143">
        <f ca="1"/>
        <v>103.75</v>
      </c>
      <c r="E33" vm="144">
        <f ca="1"/>
        <v>107.02</v>
      </c>
    </row>
    <row r="34" spans="1:5" x14ac:dyDescent="0.3">
      <c r="A34" s="3" vm="145">
        <f ca="1"/>
        <v>44753</v>
      </c>
      <c r="B34" vm="146">
        <f ca="1"/>
        <v>106.76</v>
      </c>
      <c r="C34" vm="147">
        <f ca="1"/>
        <v>107.66</v>
      </c>
      <c r="D34" vm="148">
        <f ca="1"/>
        <v>103.66</v>
      </c>
      <c r="E34" vm="149">
        <f ca="1"/>
        <v>107.1</v>
      </c>
    </row>
    <row r="35" spans="1:5" x14ac:dyDescent="0.3">
      <c r="A35" s="3" vm="150">
        <f ca="1"/>
        <v>44754</v>
      </c>
      <c r="B35" vm="151">
        <f ca="1"/>
        <v>106.23</v>
      </c>
      <c r="C35" vm="152">
        <f ca="1"/>
        <v>106.51</v>
      </c>
      <c r="D35" vm="153">
        <f ca="1"/>
        <v>98.91</v>
      </c>
      <c r="E35" vm="154">
        <f ca="1"/>
        <v>99.49</v>
      </c>
    </row>
    <row r="36" spans="1:5" x14ac:dyDescent="0.3">
      <c r="A36" s="3" vm="155">
        <f ca="1"/>
        <v>44755</v>
      </c>
      <c r="B36" vm="156">
        <f ca="1"/>
        <v>99.31</v>
      </c>
      <c r="C36" vm="157">
        <f ca="1"/>
        <v>101.2</v>
      </c>
      <c r="D36" vm="158">
        <f ca="1"/>
        <v>97.3</v>
      </c>
      <c r="E36" vm="159">
        <f ca="1"/>
        <v>99.57</v>
      </c>
    </row>
    <row r="37" spans="1:5" x14ac:dyDescent="0.3">
      <c r="A37" s="3" vm="160">
        <f ca="1"/>
        <v>44756</v>
      </c>
      <c r="B37" vm="161">
        <f ca="1"/>
        <v>99.85</v>
      </c>
      <c r="C37" vm="162">
        <f ca="1"/>
        <v>100.37</v>
      </c>
      <c r="D37" vm="163">
        <f ca="1"/>
        <v>94.5</v>
      </c>
      <c r="E37" vm="164">
        <f ca="1"/>
        <v>99.1</v>
      </c>
    </row>
    <row r="38" spans="1:5" x14ac:dyDescent="0.3">
      <c r="A38" s="3" vm="165">
        <f ca="1"/>
        <v>44757</v>
      </c>
      <c r="B38" vm="166">
        <f ca="1"/>
        <v>99.6</v>
      </c>
      <c r="C38" vm="167">
        <f ca="1"/>
        <v>102.62</v>
      </c>
      <c r="D38" vm="168">
        <f ca="1"/>
        <v>98.21</v>
      </c>
      <c r="E38" vm="169">
        <f ca="1"/>
        <v>101.16</v>
      </c>
    </row>
    <row r="39" spans="1:5" x14ac:dyDescent="0.3">
      <c r="A39" s="3" vm="170">
        <f ca="1"/>
        <v>44760</v>
      </c>
      <c r="B39" vm="171">
        <f ca="1"/>
        <v>100.92</v>
      </c>
      <c r="C39" vm="172">
        <f ca="1"/>
        <v>106.47</v>
      </c>
      <c r="D39" vm="173">
        <f ca="1"/>
        <v>99.48</v>
      </c>
      <c r="E39" vm="174">
        <f ca="1"/>
        <v>106.27</v>
      </c>
    </row>
    <row r="40" spans="1:5" x14ac:dyDescent="0.3">
      <c r="A40" s="3" vm="175">
        <f ca="1"/>
        <v>44761</v>
      </c>
      <c r="B40" vm="176">
        <f ca="1"/>
        <v>105.59</v>
      </c>
      <c r="C40" vm="177">
        <f ca="1"/>
        <v>107.6</v>
      </c>
      <c r="D40" vm="178">
        <f ca="1"/>
        <v>103.59</v>
      </c>
      <c r="E40" vm="179">
        <f ca="1"/>
        <v>107.35</v>
      </c>
    </row>
    <row r="41" spans="1:5" x14ac:dyDescent="0.3">
      <c r="A41" s="3" vm="180">
        <f ca="1"/>
        <v>44762</v>
      </c>
      <c r="B41" vm="181">
        <f ca="1"/>
        <v>107.15</v>
      </c>
      <c r="C41" vm="182">
        <f ca="1"/>
        <v>107.43</v>
      </c>
      <c r="D41" vm="183">
        <f ca="1"/>
        <v>105.09</v>
      </c>
      <c r="E41" vm="184">
        <f ca="1"/>
        <v>106.92</v>
      </c>
    </row>
    <row r="42" spans="1:5" x14ac:dyDescent="0.3">
      <c r="A42" s="3" vm="185">
        <f ca="1"/>
        <v>44763</v>
      </c>
      <c r="B42" vm="186">
        <f ca="1"/>
        <v>106.79</v>
      </c>
      <c r="C42" vm="187">
        <f ca="1"/>
        <v>106.8</v>
      </c>
      <c r="D42" vm="188">
        <f ca="1"/>
        <v>101.52</v>
      </c>
      <c r="E42" vm="189">
        <f ca="1"/>
        <v>103.86</v>
      </c>
    </row>
    <row r="43" spans="1:5" x14ac:dyDescent="0.3">
      <c r="A43" s="3" vm="190">
        <f ca="1"/>
        <v>44764</v>
      </c>
      <c r="B43" vm="191">
        <f ca="1"/>
        <v>104.25</v>
      </c>
      <c r="C43" vm="192">
        <f ca="1"/>
        <v>105.68</v>
      </c>
      <c r="D43" vm="193">
        <f ca="1"/>
        <v>101.91</v>
      </c>
      <c r="E43" vm="194">
        <f ca="1"/>
        <v>103.2</v>
      </c>
    </row>
    <row r="44" spans="1:5" x14ac:dyDescent="0.3">
      <c r="A44" s="3" vm="195">
        <f ca="1"/>
        <v>44767</v>
      </c>
      <c r="B44" vm="196">
        <f ca="1"/>
        <v>103.44</v>
      </c>
      <c r="C44" vm="197">
        <f ca="1"/>
        <v>105.35</v>
      </c>
      <c r="D44" vm="198">
        <f ca="1"/>
        <v>101.67</v>
      </c>
      <c r="E44" vm="199">
        <f ca="1"/>
        <v>105.15</v>
      </c>
    </row>
    <row r="45" spans="1:5" x14ac:dyDescent="0.3">
      <c r="A45" s="3" vm="200">
        <f ca="1"/>
        <v>44768</v>
      </c>
      <c r="B45" vm="201">
        <f ca="1"/>
        <v>104.81</v>
      </c>
      <c r="C45" vm="179">
        <f ca="1"/>
        <v>107.35</v>
      </c>
      <c r="D45" vm="202">
        <f ca="1"/>
        <v>103.98</v>
      </c>
      <c r="E45" vm="203">
        <f ca="1"/>
        <v>104.4</v>
      </c>
    </row>
    <row r="46" spans="1:5" x14ac:dyDescent="0.3">
      <c r="A46" s="3" vm="204">
        <f ca="1"/>
        <v>44769</v>
      </c>
      <c r="B46" vm="205">
        <f ca="1"/>
        <v>104.78</v>
      </c>
      <c r="C46" vm="206">
        <f ca="1"/>
        <v>107.8</v>
      </c>
      <c r="D46" vm="207">
        <f ca="1"/>
        <v>103.72</v>
      </c>
      <c r="E46" vm="208">
        <f ca="1"/>
        <v>106.62</v>
      </c>
    </row>
    <row r="47" spans="1:5" x14ac:dyDescent="0.3">
      <c r="A47" s="3" vm="209">
        <f ca="1"/>
        <v>44770</v>
      </c>
      <c r="B47" vm="210">
        <f ca="1"/>
        <v>107.49</v>
      </c>
      <c r="C47" vm="211">
        <f ca="1"/>
        <v>108.98</v>
      </c>
      <c r="D47" vm="212">
        <f ca="1"/>
        <v>105.96</v>
      </c>
      <c r="E47" vm="213">
        <f ca="1"/>
        <v>107.14</v>
      </c>
    </row>
    <row r="48" spans="1:5" x14ac:dyDescent="0.3">
      <c r="A48" s="3" vm="214">
        <f ca="1"/>
        <v>44771</v>
      </c>
      <c r="B48" vm="215">
        <f ca="1"/>
        <v>108.05</v>
      </c>
      <c r="C48" vm="216">
        <f ca="1"/>
        <v>110.43</v>
      </c>
      <c r="D48" vm="217">
        <f ca="1"/>
        <v>108.03</v>
      </c>
      <c r="E48" vm="218">
        <f ca="1"/>
        <v>110.01</v>
      </c>
    </row>
    <row r="49" spans="1:5" x14ac:dyDescent="0.3">
      <c r="A49" s="3" vm="219">
        <f ca="1"/>
        <v>44774</v>
      </c>
      <c r="B49" vm="220">
        <f ca="1"/>
        <v>103.87</v>
      </c>
      <c r="C49" vm="221">
        <f ca="1"/>
        <v>104.37</v>
      </c>
      <c r="D49" vm="164">
        <f ca="1"/>
        <v>99.1</v>
      </c>
      <c r="E49" vm="222">
        <f ca="1"/>
        <v>100.03</v>
      </c>
    </row>
    <row r="50" spans="1:5" x14ac:dyDescent="0.3">
      <c r="A50" s="3" vm="223">
        <f ca="1"/>
        <v>44775</v>
      </c>
      <c r="B50" vm="224">
        <f ca="1"/>
        <v>100</v>
      </c>
      <c r="C50" vm="225">
        <f ca="1"/>
        <v>102.41</v>
      </c>
      <c r="D50" vm="138">
        <f ca="1"/>
        <v>98.47</v>
      </c>
      <c r="E50" vm="226">
        <f ca="1"/>
        <v>100.54</v>
      </c>
    </row>
    <row r="51" spans="1:5" x14ac:dyDescent="0.3">
      <c r="A51" s="3" vm="227">
        <f ca="1"/>
        <v>44776</v>
      </c>
      <c r="B51" vm="228">
        <f ca="1"/>
        <v>99.64</v>
      </c>
      <c r="C51" vm="229">
        <f ca="1"/>
        <v>102.37</v>
      </c>
      <c r="D51" vm="230">
        <f ca="1"/>
        <v>96.48</v>
      </c>
      <c r="E51" vm="231">
        <f ca="1"/>
        <v>96.78</v>
      </c>
    </row>
    <row r="52" spans="1:5" x14ac:dyDescent="0.3">
      <c r="A52" s="3" vm="232">
        <f ca="1"/>
        <v>44777</v>
      </c>
      <c r="B52" vm="233">
        <f ca="1"/>
        <v>97.01</v>
      </c>
      <c r="C52" vm="234">
        <f ca="1"/>
        <v>97.63</v>
      </c>
      <c r="D52" vm="235">
        <f ca="1"/>
        <v>93.15</v>
      </c>
      <c r="E52" vm="236">
        <f ca="1"/>
        <v>94.12</v>
      </c>
    </row>
    <row r="53" spans="1:5" x14ac:dyDescent="0.3">
      <c r="A53" s="3" vm="237">
        <f ca="1"/>
        <v>44778</v>
      </c>
      <c r="B53" vm="238">
        <f ca="1"/>
        <v>93.59</v>
      </c>
      <c r="C53" vm="239">
        <f ca="1"/>
        <v>96.4</v>
      </c>
      <c r="D53" vm="240">
        <f ca="1"/>
        <v>92.75</v>
      </c>
      <c r="E53" vm="241">
        <f ca="1"/>
        <v>94.92</v>
      </c>
    </row>
    <row r="54" spans="1:5" x14ac:dyDescent="0.3">
      <c r="A54" s="3" vm="242">
        <f ca="1"/>
        <v>44781</v>
      </c>
      <c r="B54" vm="243">
        <f ca="1"/>
        <v>94.27</v>
      </c>
      <c r="C54" vm="244">
        <f ca="1"/>
        <v>96.73</v>
      </c>
      <c r="D54" vm="245">
        <f ca="1"/>
        <v>92.99</v>
      </c>
      <c r="E54" vm="246">
        <f ca="1"/>
        <v>96.65</v>
      </c>
    </row>
    <row r="55" spans="1:5" x14ac:dyDescent="0.3">
      <c r="A55" s="3" vm="247">
        <f ca="1"/>
        <v>44782</v>
      </c>
      <c r="B55" vm="248">
        <f ca="1"/>
        <v>96.54</v>
      </c>
      <c r="C55" vm="249">
        <f ca="1"/>
        <v>98.39</v>
      </c>
      <c r="D55" vm="250">
        <f ca="1"/>
        <v>94.91</v>
      </c>
      <c r="E55" vm="251">
        <f ca="1"/>
        <v>96.31</v>
      </c>
    </row>
    <row r="56" spans="1:5" x14ac:dyDescent="0.3">
      <c r="A56" s="3" vm="252">
        <f ca="1"/>
        <v>44783</v>
      </c>
      <c r="B56" vm="253">
        <f ca="1"/>
        <v>96.46</v>
      </c>
      <c r="C56" vm="254">
        <f ca="1"/>
        <v>97.98</v>
      </c>
      <c r="D56" vm="255">
        <f ca="1"/>
        <v>93.61</v>
      </c>
      <c r="E56" vm="256">
        <f ca="1"/>
        <v>97.4</v>
      </c>
    </row>
    <row r="57" spans="1:5" x14ac:dyDescent="0.3">
      <c r="A57" s="3" vm="257">
        <f ca="1"/>
        <v>44784</v>
      </c>
      <c r="B57" vm="258">
        <f ca="1"/>
        <v>97.27</v>
      </c>
      <c r="C57" vm="259">
        <f ca="1"/>
        <v>100.16</v>
      </c>
      <c r="D57" vm="246">
        <f ca="1"/>
        <v>96.65</v>
      </c>
      <c r="E57" vm="166">
        <f ca="1"/>
        <v>99.6</v>
      </c>
    </row>
    <row r="58" spans="1:5" x14ac:dyDescent="0.3">
      <c r="A58" s="3" vm="260">
        <f ca="1"/>
        <v>44785</v>
      </c>
      <c r="B58" vm="261">
        <f ca="1"/>
        <v>99.29</v>
      </c>
      <c r="C58" vm="262">
        <f ca="1"/>
        <v>100.35</v>
      </c>
      <c r="D58" vm="263">
        <f ca="1"/>
        <v>96.94</v>
      </c>
      <c r="E58" vm="264">
        <f ca="1"/>
        <v>98.15</v>
      </c>
    </row>
    <row r="59" spans="1:5" x14ac:dyDescent="0.3">
      <c r="A59" s="3" vm="265">
        <f ca="1"/>
        <v>44788</v>
      </c>
      <c r="B59" vm="266">
        <f ca="1"/>
        <v>97.76</v>
      </c>
      <c r="C59" vm="267">
        <f ca="1"/>
        <v>98.04</v>
      </c>
      <c r="D59" vm="268">
        <f ca="1"/>
        <v>92.72</v>
      </c>
      <c r="E59" vm="269">
        <f ca="1"/>
        <v>95.1</v>
      </c>
    </row>
    <row r="60" spans="1:5" x14ac:dyDescent="0.3">
      <c r="A60" s="3" vm="270">
        <f ca="1"/>
        <v>44789</v>
      </c>
      <c r="B60" vm="271">
        <f ca="1"/>
        <v>93.64</v>
      </c>
      <c r="C60" vm="272">
        <f ca="1"/>
        <v>95.95</v>
      </c>
      <c r="D60" vm="273">
        <f ca="1"/>
        <v>91.72</v>
      </c>
      <c r="E60" vm="274">
        <f ca="1"/>
        <v>92.34</v>
      </c>
    </row>
    <row r="61" spans="1:5" x14ac:dyDescent="0.3">
      <c r="A61" s="3" vm="275">
        <f ca="1"/>
        <v>44790</v>
      </c>
      <c r="B61" vm="276">
        <f ca="1"/>
        <v>92.77</v>
      </c>
      <c r="C61" vm="277">
        <f ca="1"/>
        <v>94.46</v>
      </c>
      <c r="D61" vm="278">
        <f ca="1"/>
        <v>91.52</v>
      </c>
      <c r="E61" vm="279">
        <f ca="1"/>
        <v>93.65</v>
      </c>
    </row>
    <row r="62" spans="1:5" x14ac:dyDescent="0.3">
      <c r="A62" s="3" vm="280">
        <f ca="1"/>
        <v>44791</v>
      </c>
      <c r="B62" vm="281">
        <f ca="1"/>
        <v>93.18</v>
      </c>
      <c r="C62" vm="282">
        <f ca="1"/>
        <v>97.41</v>
      </c>
      <c r="D62" vm="283">
        <f ca="1"/>
        <v>93.05</v>
      </c>
      <c r="E62" vm="284">
        <f ca="1"/>
        <v>96.59</v>
      </c>
    </row>
    <row r="63" spans="1:5" x14ac:dyDescent="0.3">
      <c r="A63" s="3" vm="285">
        <f ca="1"/>
        <v>44792</v>
      </c>
      <c r="B63" vm="286">
        <f ca="1"/>
        <v>96.63</v>
      </c>
      <c r="C63" vm="287">
        <f ca="1"/>
        <v>97.87</v>
      </c>
      <c r="D63" vm="288">
        <f ca="1"/>
        <v>94.25</v>
      </c>
      <c r="E63" vm="289">
        <f ca="1"/>
        <v>96.72</v>
      </c>
    </row>
    <row r="64" spans="1:5" x14ac:dyDescent="0.3">
      <c r="A64" s="3" vm="290">
        <f ca="1"/>
        <v>44795</v>
      </c>
      <c r="B64" vm="291">
        <f ca="1"/>
        <v>95.66</v>
      </c>
      <c r="C64" vm="292">
        <f ca="1"/>
        <v>97.25</v>
      </c>
      <c r="D64" vm="293">
        <f ca="1"/>
        <v>92.36</v>
      </c>
      <c r="E64" vm="230">
        <f ca="1"/>
        <v>96.48</v>
      </c>
    </row>
    <row r="65" spans="1:5" x14ac:dyDescent="0.3">
      <c r="A65" s="3" vm="294">
        <f ca="1"/>
        <v>44796</v>
      </c>
      <c r="B65" vm="295">
        <f ca="1"/>
        <v>96.58</v>
      </c>
      <c r="C65" vm="296">
        <f ca="1"/>
        <v>100.45</v>
      </c>
      <c r="D65" vm="297">
        <f ca="1"/>
        <v>96.51</v>
      </c>
      <c r="E65" vm="298">
        <f ca="1"/>
        <v>100.22</v>
      </c>
    </row>
    <row r="66" spans="1:5" x14ac:dyDescent="0.3">
      <c r="A66" s="3" vm="299">
        <f ca="1"/>
        <v>44797</v>
      </c>
      <c r="B66" vm="259">
        <f ca="1"/>
        <v>100.16</v>
      </c>
      <c r="C66" vm="300">
        <f ca="1"/>
        <v>102</v>
      </c>
      <c r="D66" vm="301">
        <f ca="1"/>
        <v>99.07</v>
      </c>
      <c r="E66" vm="302">
        <f ca="1"/>
        <v>101.22</v>
      </c>
    </row>
    <row r="67" spans="1:5" x14ac:dyDescent="0.3">
      <c r="A67" s="3" vm="303">
        <f ca="1"/>
        <v>44798</v>
      </c>
      <c r="B67" vm="304">
        <f ca="1"/>
        <v>101.6</v>
      </c>
      <c r="C67" vm="305">
        <f ca="1"/>
        <v>102.47</v>
      </c>
      <c r="D67" vm="306">
        <f ca="1"/>
        <v>99.12</v>
      </c>
      <c r="E67" vm="307">
        <f ca="1"/>
        <v>99.34</v>
      </c>
    </row>
    <row r="68" spans="1:5" x14ac:dyDescent="0.3">
      <c r="A68" s="3" vm="308">
        <f ca="1"/>
        <v>44799</v>
      </c>
      <c r="B68" vm="309">
        <f ca="1"/>
        <v>99.88</v>
      </c>
      <c r="C68" vm="310">
        <f ca="1"/>
        <v>101.17</v>
      </c>
      <c r="D68" vm="311">
        <f ca="1"/>
        <v>98.14</v>
      </c>
      <c r="E68" vm="312">
        <f ca="1"/>
        <v>100.99</v>
      </c>
    </row>
    <row r="69" spans="1:5" x14ac:dyDescent="0.3">
      <c r="A69" s="3" vm="313">
        <f ca="1"/>
        <v>44802</v>
      </c>
      <c r="B69" vm="314">
        <f ca="1"/>
        <v>100.83</v>
      </c>
      <c r="C69" vm="315">
        <f ca="1"/>
        <v>105.48</v>
      </c>
      <c r="D69" vm="316">
        <f ca="1"/>
        <v>100.29</v>
      </c>
      <c r="E69" vm="183">
        <f ca="1"/>
        <v>105.09</v>
      </c>
    </row>
    <row r="70" spans="1:5" x14ac:dyDescent="0.3">
      <c r="A70" s="3" vm="317">
        <f ca="1"/>
        <v>44803</v>
      </c>
      <c r="B70" vm="318">
        <f ca="1"/>
        <v>105</v>
      </c>
      <c r="C70" vm="319">
        <f ca="1"/>
        <v>105.37</v>
      </c>
      <c r="D70" vm="320">
        <f ca="1"/>
        <v>97.67</v>
      </c>
      <c r="E70" vm="156">
        <f ca="1"/>
        <v>99.31</v>
      </c>
    </row>
    <row r="71" spans="1:5" x14ac:dyDescent="0.3">
      <c r="A71" s="3" vm="321">
        <f ca="1"/>
        <v>44804</v>
      </c>
      <c r="B71" vm="322">
        <f ca="1"/>
        <v>99.71</v>
      </c>
      <c r="C71" vm="323">
        <f ca="1"/>
        <v>100.3</v>
      </c>
      <c r="D71" vm="324">
        <f ca="1"/>
        <v>95.76</v>
      </c>
      <c r="E71" vm="325">
        <f ca="1"/>
        <v>96.49</v>
      </c>
    </row>
    <row r="72" spans="1:5" x14ac:dyDescent="0.3">
      <c r="A72" s="3" vm="326">
        <f ca="1"/>
        <v>44805</v>
      </c>
      <c r="B72" vm="327">
        <f ca="1"/>
        <v>94.78</v>
      </c>
      <c r="C72" vm="291">
        <f ca="1"/>
        <v>95.66</v>
      </c>
      <c r="D72" vm="328">
        <f ca="1"/>
        <v>91.81</v>
      </c>
      <c r="E72" vm="293">
        <f ca="1"/>
        <v>92.36</v>
      </c>
    </row>
    <row r="73" spans="1:5" x14ac:dyDescent="0.3">
      <c r="A73" s="3" vm="329">
        <f ca="1"/>
        <v>44806</v>
      </c>
      <c r="B73" vm="330">
        <f ca="1"/>
        <v>92</v>
      </c>
      <c r="C73" vm="331">
        <f ca="1"/>
        <v>95.32</v>
      </c>
      <c r="D73" vm="330">
        <f ca="1"/>
        <v>92</v>
      </c>
      <c r="E73" vm="332">
        <f ca="1"/>
        <v>93.02</v>
      </c>
    </row>
    <row r="74" spans="1:5" x14ac:dyDescent="0.3">
      <c r="A74" s="3" vm="333">
        <f ca="1"/>
        <v>44809</v>
      </c>
      <c r="B74" t="e" vm="12">
        <f ca="1"/>
        <v>#N/A</v>
      </c>
      <c r="C74" t="e" vm="12">
        <f ca="1"/>
        <v>#N/A</v>
      </c>
      <c r="D74" t="e" vm="12">
        <f ca="1"/>
        <v>#N/A</v>
      </c>
      <c r="E74" t="e" vm="12">
        <f ca="1"/>
        <v>#N/A</v>
      </c>
    </row>
    <row r="75" spans="1:5" x14ac:dyDescent="0.3">
      <c r="A75" s="3" vm="334">
        <f ca="1"/>
        <v>44810</v>
      </c>
      <c r="B75" vm="335">
        <f ca="1"/>
        <v>93.09</v>
      </c>
      <c r="C75" vm="336">
        <f ca="1"/>
        <v>96.99</v>
      </c>
      <c r="D75" vm="337">
        <f ca="1"/>
        <v>92.28</v>
      </c>
      <c r="E75" vm="338">
        <f ca="1"/>
        <v>92.83</v>
      </c>
    </row>
    <row r="76" spans="1:5" x14ac:dyDescent="0.3">
      <c r="A76" s="3" vm="339">
        <f ca="1"/>
        <v>44811</v>
      </c>
      <c r="B76" vm="340">
        <f ca="1"/>
        <v>92.8</v>
      </c>
      <c r="C76" vm="341">
        <f ca="1"/>
        <v>93.79</v>
      </c>
      <c r="D76" vm="342">
        <f ca="1"/>
        <v>87.4</v>
      </c>
      <c r="E76" vm="343">
        <f ca="1"/>
        <v>88</v>
      </c>
    </row>
    <row r="77" spans="1:5" x14ac:dyDescent="0.3">
      <c r="A77" s="3" vm="344">
        <f ca="1"/>
        <v>44812</v>
      </c>
      <c r="B77" vm="345">
        <f ca="1"/>
        <v>87.64</v>
      </c>
      <c r="C77" vm="346">
        <f ca="1"/>
        <v>89.83</v>
      </c>
      <c r="D77" vm="347">
        <f ca="1"/>
        <v>87.23</v>
      </c>
      <c r="E77" vm="348">
        <f ca="1"/>
        <v>89.15</v>
      </c>
    </row>
    <row r="78" spans="1:5" x14ac:dyDescent="0.3">
      <c r="A78" s="3" vm="349">
        <f ca="1"/>
        <v>44813</v>
      </c>
      <c r="B78" vm="350">
        <f ca="1"/>
        <v>88.46</v>
      </c>
      <c r="C78" vm="351">
        <f ca="1"/>
        <v>93.1</v>
      </c>
      <c r="D78" vm="352">
        <f ca="1"/>
        <v>88.32</v>
      </c>
      <c r="E78" vm="353">
        <f ca="1"/>
        <v>92.84</v>
      </c>
    </row>
    <row r="79" spans="1:5" x14ac:dyDescent="0.3">
      <c r="A79" s="3" vm="354">
        <f ca="1"/>
        <v>44816</v>
      </c>
      <c r="B79" vm="355">
        <f ca="1"/>
        <v>92.3</v>
      </c>
      <c r="C79" vm="356">
        <f ca="1"/>
        <v>95.17</v>
      </c>
      <c r="D79" vm="357">
        <f ca="1"/>
        <v>91.21</v>
      </c>
      <c r="E79" vm="358">
        <f ca="1"/>
        <v>94</v>
      </c>
    </row>
    <row r="80" spans="1:5" x14ac:dyDescent="0.3">
      <c r="A80" s="3" vm="359">
        <f ca="1"/>
        <v>44817</v>
      </c>
      <c r="B80" vm="360">
        <f ca="1"/>
        <v>94.21</v>
      </c>
      <c r="C80" vm="361">
        <f ca="1"/>
        <v>95.51</v>
      </c>
      <c r="D80" vm="362">
        <f ca="1"/>
        <v>91.07</v>
      </c>
      <c r="E80" vm="363">
        <f ca="1"/>
        <v>93.17</v>
      </c>
    </row>
    <row r="81" spans="1:5" x14ac:dyDescent="0.3">
      <c r="A81" s="3" vm="364">
        <f ca="1"/>
        <v>44818</v>
      </c>
      <c r="B81" vm="365">
        <f ca="1"/>
        <v>93.49</v>
      </c>
      <c r="C81" vm="366">
        <f ca="1"/>
        <v>95.81</v>
      </c>
      <c r="D81" vm="367">
        <f ca="1"/>
        <v>91.95</v>
      </c>
      <c r="E81" vm="368">
        <f ca="1"/>
        <v>94.1</v>
      </c>
    </row>
    <row r="82" spans="1:5" x14ac:dyDescent="0.3">
      <c r="A82" s="3" vm="369">
        <f ca="1"/>
        <v>44819</v>
      </c>
      <c r="B82" vm="370">
        <f ca="1"/>
        <v>94.43</v>
      </c>
      <c r="C82" vm="371">
        <f ca="1"/>
        <v>94.65</v>
      </c>
      <c r="D82" vm="372">
        <f ca="1"/>
        <v>90.05</v>
      </c>
      <c r="E82" vm="373">
        <f ca="1"/>
        <v>90.84</v>
      </c>
    </row>
    <row r="83" spans="1:5" x14ac:dyDescent="0.3">
      <c r="A83" s="3" vm="374">
        <f ca="1"/>
        <v>44820</v>
      </c>
      <c r="B83" vm="375">
        <f ca="1"/>
        <v>90.65</v>
      </c>
      <c r="C83" vm="376">
        <f ca="1"/>
        <v>92.64</v>
      </c>
      <c r="D83" vm="377">
        <f ca="1"/>
        <v>90.22</v>
      </c>
      <c r="E83" vm="378">
        <f ca="1"/>
        <v>91.35</v>
      </c>
    </row>
    <row r="84" spans="1:5" x14ac:dyDescent="0.3">
      <c r="A84" s="3" vm="379">
        <f ca="1"/>
        <v>44823</v>
      </c>
      <c r="B84" vm="380">
        <f ca="1"/>
        <v>91.65</v>
      </c>
      <c r="C84" vm="381">
        <f ca="1"/>
        <v>92.58</v>
      </c>
      <c r="D84" vm="382">
        <f ca="1"/>
        <v>88.48</v>
      </c>
      <c r="E84" vm="330">
        <f ca="1"/>
        <v>92</v>
      </c>
    </row>
    <row r="85" spans="1:5" x14ac:dyDescent="0.3">
      <c r="A85" s="3" vm="383">
        <f ca="1"/>
        <v>44824</v>
      </c>
      <c r="B85" vm="384">
        <f ca="1"/>
        <v>91.97</v>
      </c>
      <c r="C85" vm="332">
        <f ca="1"/>
        <v>93.02</v>
      </c>
      <c r="D85" vm="385">
        <f ca="1"/>
        <v>89.8</v>
      </c>
      <c r="E85" vm="386">
        <f ca="1"/>
        <v>90.62</v>
      </c>
    </row>
    <row r="86" spans="1:5" x14ac:dyDescent="0.3">
      <c r="A86" s="3" vm="387">
        <f ca="1"/>
        <v>44825</v>
      </c>
      <c r="B86" vm="388">
        <f ca="1"/>
        <v>90.69</v>
      </c>
      <c r="C86" vm="389">
        <f ca="1"/>
        <v>93.51</v>
      </c>
      <c r="D86" vm="390">
        <f ca="1"/>
        <v>89.3</v>
      </c>
      <c r="E86" vm="346">
        <f ca="1"/>
        <v>89.83</v>
      </c>
    </row>
    <row r="87" spans="1:5" x14ac:dyDescent="0.3">
      <c r="A87" s="3" vm="391">
        <f ca="1"/>
        <v>44826</v>
      </c>
      <c r="B87" vm="392">
        <f ca="1"/>
        <v>89.92</v>
      </c>
      <c r="C87" vm="340">
        <f ca="1"/>
        <v>92.8</v>
      </c>
      <c r="D87" vm="393">
        <f ca="1"/>
        <v>89.29</v>
      </c>
      <c r="E87" vm="394">
        <f ca="1"/>
        <v>90.46</v>
      </c>
    </row>
    <row r="88" spans="1:5" x14ac:dyDescent="0.3">
      <c r="A88" s="3" vm="395">
        <f ca="1"/>
        <v>44827</v>
      </c>
      <c r="B88" vm="396">
        <f ca="1"/>
        <v>90.35</v>
      </c>
      <c r="C88" vm="397">
        <f ca="1"/>
        <v>90.71</v>
      </c>
      <c r="D88" vm="398">
        <f ca="1"/>
        <v>85.46</v>
      </c>
      <c r="E88" vm="399">
        <f ca="1"/>
        <v>86.15</v>
      </c>
    </row>
    <row r="89" spans="1:5" x14ac:dyDescent="0.3">
      <c r="A89" s="3" vm="400">
        <f ca="1"/>
        <v>44830</v>
      </c>
      <c r="B89" vm="401">
        <f ca="1"/>
        <v>86.72</v>
      </c>
      <c r="C89" vm="402">
        <f ca="1"/>
        <v>87.66</v>
      </c>
      <c r="D89" vm="403">
        <f ca="1"/>
        <v>83.63</v>
      </c>
      <c r="E89" vm="404">
        <f ca="1"/>
        <v>84.06</v>
      </c>
    </row>
    <row r="90" spans="1:5" x14ac:dyDescent="0.3">
      <c r="A90" s="3" vm="405">
        <f ca="1"/>
        <v>44831</v>
      </c>
      <c r="B90" vm="406">
        <f ca="1"/>
        <v>83.91</v>
      </c>
      <c r="C90" vm="407">
        <f ca="1"/>
        <v>87.13</v>
      </c>
      <c r="D90" vm="406">
        <f ca="1"/>
        <v>83.91</v>
      </c>
      <c r="E90" vm="408">
        <f ca="1"/>
        <v>86.27</v>
      </c>
    </row>
    <row r="91" spans="1:5" x14ac:dyDescent="0.3">
      <c r="A91" s="3" vm="409">
        <f ca="1"/>
        <v>44832</v>
      </c>
      <c r="B91" vm="410">
        <f ca="1"/>
        <v>85.83</v>
      </c>
      <c r="C91" vm="411">
        <f ca="1"/>
        <v>89.49</v>
      </c>
      <c r="D91" vm="412">
        <f ca="1"/>
        <v>84.27</v>
      </c>
      <c r="E91" vm="413">
        <f ca="1"/>
        <v>89.32</v>
      </c>
    </row>
    <row r="92" spans="1:5" x14ac:dyDescent="0.3">
      <c r="A92" s="3" vm="414">
        <f ca="1"/>
        <v>44833</v>
      </c>
      <c r="B92" vm="415">
        <f ca="1"/>
        <v>88.95</v>
      </c>
      <c r="C92" vm="416">
        <f ca="1"/>
        <v>90.1</v>
      </c>
      <c r="D92" vm="417">
        <f ca="1"/>
        <v>87.45</v>
      </c>
      <c r="E92" vm="418">
        <f ca="1"/>
        <v>88.49</v>
      </c>
    </row>
    <row r="93" spans="1:5" x14ac:dyDescent="0.3">
      <c r="A93" s="3" vm="419">
        <f ca="1"/>
        <v>44834</v>
      </c>
      <c r="B93" vm="420">
        <f ca="1"/>
        <v>88.56</v>
      </c>
      <c r="C93" vm="421">
        <f ca="1"/>
        <v>89.52</v>
      </c>
      <c r="D93" vm="422">
        <f ca="1"/>
        <v>87.85</v>
      </c>
      <c r="E93" vm="423">
        <f ca="1"/>
        <v>87.96</v>
      </c>
    </row>
    <row r="94" spans="1:5" x14ac:dyDescent="0.3">
      <c r="A94" s="3" vm="424">
        <f ca="1"/>
        <v>44837</v>
      </c>
      <c r="B94" vm="425">
        <f ca="1"/>
        <v>86.51</v>
      </c>
      <c r="C94" vm="346">
        <f ca="1"/>
        <v>89.83</v>
      </c>
      <c r="D94" vm="425">
        <f ca="1"/>
        <v>86.51</v>
      </c>
      <c r="E94" vm="426">
        <f ca="1"/>
        <v>88.86</v>
      </c>
    </row>
    <row r="95" spans="1:5" x14ac:dyDescent="0.3">
      <c r="A95" s="3" vm="427">
        <f ca="1"/>
        <v>44838</v>
      </c>
      <c r="B95" vm="428">
        <f ca="1"/>
        <v>88.89</v>
      </c>
      <c r="C95" vm="429">
        <f ca="1"/>
        <v>92.39</v>
      </c>
      <c r="D95" vm="430">
        <f ca="1"/>
        <v>88.69</v>
      </c>
      <c r="E95" vm="431">
        <f ca="1"/>
        <v>91.8</v>
      </c>
    </row>
    <row r="96" spans="1:5" x14ac:dyDescent="0.3">
      <c r="A96" s="3" vm="432">
        <f ca="1"/>
        <v>44839</v>
      </c>
      <c r="B96" vm="380">
        <f ca="1"/>
        <v>91.65</v>
      </c>
      <c r="C96" vm="433">
        <f ca="1"/>
        <v>93.97</v>
      </c>
      <c r="D96" vm="434">
        <f ca="1"/>
        <v>90.9</v>
      </c>
      <c r="E96" vm="435">
        <f ca="1"/>
        <v>93.37</v>
      </c>
    </row>
    <row r="97" spans="1:5" x14ac:dyDescent="0.3">
      <c r="A97" s="3" vm="436">
        <f ca="1"/>
        <v>44840</v>
      </c>
      <c r="B97" vm="437">
        <f ca="1"/>
        <v>93.83</v>
      </c>
      <c r="C97" vm="438">
        <f ca="1"/>
        <v>95.01</v>
      </c>
      <c r="D97" vm="439">
        <f ca="1"/>
        <v>92.73</v>
      </c>
      <c r="E97" vm="440">
        <f ca="1"/>
        <v>94.42</v>
      </c>
    </row>
    <row r="98" spans="1:5" x14ac:dyDescent="0.3">
      <c r="A98" s="3" vm="441">
        <f ca="1"/>
        <v>44841</v>
      </c>
      <c r="B98" vm="442">
        <f ca="1"/>
        <v>94.99</v>
      </c>
      <c r="C98" vm="443">
        <f ca="1"/>
        <v>98.59</v>
      </c>
      <c r="D98" vm="444">
        <f ca="1"/>
        <v>93.93</v>
      </c>
      <c r="E98" vm="445">
        <f ca="1"/>
        <v>97.92</v>
      </c>
    </row>
    <row r="99" spans="1:5" x14ac:dyDescent="0.3">
      <c r="A99" s="3" vm="446">
        <f ca="1"/>
        <v>44844</v>
      </c>
      <c r="B99" vm="447">
        <f ca="1"/>
        <v>98.7</v>
      </c>
      <c r="C99" vm="448">
        <f ca="1"/>
        <v>98.76</v>
      </c>
      <c r="D99" vm="449">
        <f ca="1"/>
        <v>95.62</v>
      </c>
      <c r="E99" vm="450">
        <f ca="1"/>
        <v>96.19</v>
      </c>
    </row>
    <row r="100" spans="1:5" x14ac:dyDescent="0.3">
      <c r="A100" s="3" vm="451">
        <f ca="1"/>
        <v>44845</v>
      </c>
      <c r="B100" vm="452">
        <f ca="1"/>
        <v>96.15</v>
      </c>
      <c r="C100" vm="453">
        <f ca="1"/>
        <v>96.45</v>
      </c>
      <c r="D100" vm="454">
        <f ca="1"/>
        <v>93.11</v>
      </c>
      <c r="E100" vm="455">
        <f ca="1"/>
        <v>94.29</v>
      </c>
    </row>
    <row r="101" spans="1:5" x14ac:dyDescent="0.3">
      <c r="A101" s="3" vm="456">
        <f ca="1"/>
        <v>44846</v>
      </c>
      <c r="B101" vm="457">
        <f ca="1"/>
        <v>93.69</v>
      </c>
      <c r="C101" vm="356">
        <f ca="1"/>
        <v>95.17</v>
      </c>
      <c r="D101" vm="458">
        <f ca="1"/>
        <v>91.58</v>
      </c>
      <c r="E101" vm="459">
        <f ca="1"/>
        <v>92.45</v>
      </c>
    </row>
    <row r="102" spans="1:5" x14ac:dyDescent="0.3">
      <c r="A102" s="3" vm="460">
        <f ca="1"/>
        <v>44847</v>
      </c>
      <c r="B102" vm="461">
        <f ca="1"/>
        <v>92.47</v>
      </c>
      <c r="C102" vm="462">
        <f ca="1"/>
        <v>94.9</v>
      </c>
      <c r="D102" vm="463">
        <f ca="1"/>
        <v>91.09</v>
      </c>
      <c r="E102" vm="464">
        <f ca="1"/>
        <v>94.57</v>
      </c>
    </row>
    <row r="103" spans="1:5" x14ac:dyDescent="0.3">
      <c r="A103" vm="465">
        <f ca="1"/>
        <v>44848</v>
      </c>
      <c r="B103" vm="466">
        <f ca="1"/>
        <v>94.75</v>
      </c>
      <c r="C103" vm="467">
        <f ca="1"/>
        <v>95.11</v>
      </c>
      <c r="D103" vm="468">
        <f ca="1"/>
        <v>91.27</v>
      </c>
      <c r="E103" vm="469">
        <f ca="1"/>
        <v>91.63</v>
      </c>
    </row>
    <row r="104" spans="1:5" x14ac:dyDescent="0.3">
      <c r="A104" vm="470">
        <f ca="1"/>
        <v>44851</v>
      </c>
      <c r="B104" vm="471">
        <f ca="1"/>
        <v>91.71</v>
      </c>
      <c r="C104" vm="472">
        <f ca="1"/>
        <v>93.23</v>
      </c>
      <c r="D104" vm="373">
        <f ca="1"/>
        <v>90.84</v>
      </c>
      <c r="E104" vm="473">
        <f ca="1"/>
        <v>91.62</v>
      </c>
    </row>
    <row r="105" spans="1:5" x14ac:dyDescent="0.3">
      <c r="A105" vm="474">
        <f ca="1"/>
        <v>44852</v>
      </c>
      <c r="B105" vm="475">
        <f ca="1"/>
        <v>92.02</v>
      </c>
      <c r="C105" vm="476">
        <f ca="1"/>
        <v>92.65</v>
      </c>
      <c r="D105" vm="477">
        <f ca="1"/>
        <v>88.77</v>
      </c>
      <c r="E105" vm="478">
        <f ca="1"/>
        <v>90.03</v>
      </c>
    </row>
    <row r="106" spans="1:5" x14ac:dyDescent="0.3">
      <c r="A106" vm="479">
        <f ca="1"/>
        <v>44853</v>
      </c>
      <c r="B106" vm="480">
        <f ca="1"/>
        <v>90.79</v>
      </c>
      <c r="C106" vm="353">
        <f ca="1"/>
        <v>92.84</v>
      </c>
      <c r="D106" vm="481">
        <f ca="1"/>
        <v>89.38</v>
      </c>
      <c r="E106" vm="482">
        <f ca="1"/>
        <v>92.41</v>
      </c>
    </row>
    <row r="107" spans="1:5" x14ac:dyDescent="0.3">
      <c r="A107" vm="483">
        <f ca="1"/>
        <v>44854</v>
      </c>
      <c r="B107" vm="484">
        <f ca="1"/>
        <v>92.51</v>
      </c>
      <c r="C107" vm="485">
        <f ca="1"/>
        <v>94.77</v>
      </c>
      <c r="D107" vm="486">
        <f ca="1"/>
        <v>91.92</v>
      </c>
      <c r="E107" vm="487">
        <f ca="1"/>
        <v>92.38</v>
      </c>
    </row>
    <row r="108" spans="1:5" x14ac:dyDescent="0.3">
      <c r="A108" vm="488">
        <f ca="1"/>
        <v>44855</v>
      </c>
      <c r="B108" vm="489">
        <f ca="1"/>
        <v>92.79</v>
      </c>
      <c r="C108" vm="490">
        <f ca="1"/>
        <v>93.8</v>
      </c>
      <c r="D108" vm="491">
        <f ca="1"/>
        <v>91.02</v>
      </c>
      <c r="E108" vm="492">
        <f ca="1"/>
        <v>93.5</v>
      </c>
    </row>
    <row r="109" spans="1:5" x14ac:dyDescent="0.3">
      <c r="A109" vm="493">
        <f ca="1"/>
        <v>44858</v>
      </c>
      <c r="B109" vm="255">
        <f ca="1"/>
        <v>93.61</v>
      </c>
      <c r="C109" vm="494">
        <f ca="1"/>
        <v>94.44</v>
      </c>
      <c r="D109" vm="357">
        <f ca="1"/>
        <v>91.21</v>
      </c>
      <c r="E109" vm="495">
        <f ca="1"/>
        <v>93.26</v>
      </c>
    </row>
    <row r="110" spans="1:5" x14ac:dyDescent="0.3">
      <c r="A110" vm="496">
        <f ca="1"/>
        <v>44859</v>
      </c>
      <c r="B110" vm="497">
        <f ca="1"/>
        <v>93.56</v>
      </c>
      <c r="C110" vm="498">
        <f ca="1"/>
        <v>94.37</v>
      </c>
      <c r="D110" vm="469">
        <f ca="1"/>
        <v>91.63</v>
      </c>
      <c r="E110" vm="499">
        <f ca="1"/>
        <v>93.52</v>
      </c>
    </row>
    <row r="111" spans="1:5" x14ac:dyDescent="0.3">
      <c r="A111" vm="500">
        <f ca="1"/>
        <v>44860</v>
      </c>
      <c r="B111" vm="501">
        <f ca="1"/>
        <v>93.25</v>
      </c>
      <c r="C111" vm="450">
        <f ca="1"/>
        <v>96.19</v>
      </c>
      <c r="D111" vm="502">
        <f ca="1"/>
        <v>92.04</v>
      </c>
      <c r="E111" vm="503">
        <f ca="1"/>
        <v>95.69</v>
      </c>
    </row>
    <row r="112" spans="1:5" x14ac:dyDescent="0.3">
      <c r="A112" vm="504">
        <f ca="1"/>
        <v>44861</v>
      </c>
      <c r="B112" vm="505">
        <f ca="1"/>
        <v>96.16</v>
      </c>
      <c r="C112" vm="506">
        <f ca="1"/>
        <v>97.28</v>
      </c>
      <c r="D112" vm="507">
        <f ca="1"/>
        <v>95.08</v>
      </c>
      <c r="E112" vm="508">
        <f ca="1"/>
        <v>96.96</v>
      </c>
    </row>
    <row r="113" spans="1:5" x14ac:dyDescent="0.3">
      <c r="A113" vm="509">
        <f ca="1"/>
        <v>44862</v>
      </c>
      <c r="B113" vm="231">
        <f ca="1"/>
        <v>96.78</v>
      </c>
      <c r="C113" vm="510">
        <f ca="1"/>
        <v>96.89</v>
      </c>
      <c r="D113" vm="511">
        <f ca="1"/>
        <v>95</v>
      </c>
      <c r="E113" vm="512">
        <f ca="1"/>
        <v>95.77</v>
      </c>
    </row>
    <row r="114" spans="1:5" x14ac:dyDescent="0.3">
      <c r="A114" vm="513">
        <f ca="1"/>
        <v>44865</v>
      </c>
      <c r="B114" vm="514">
        <f ca="1"/>
        <v>96</v>
      </c>
      <c r="C114" vm="514">
        <f ca="1"/>
        <v>96</v>
      </c>
      <c r="D114" vm="515">
        <f ca="1"/>
        <v>94.32</v>
      </c>
      <c r="E114" vm="516">
        <f ca="1"/>
        <v>94.83</v>
      </c>
    </row>
    <row r="115" spans="1:5" x14ac:dyDescent="0.3">
      <c r="A115" vm="517">
        <f ca="1"/>
        <v>44866</v>
      </c>
      <c r="B115" vm="340">
        <f ca="1"/>
        <v>92.8</v>
      </c>
      <c r="C115" vm="518">
        <f ca="1"/>
        <v>95.55</v>
      </c>
      <c r="D115" vm="293">
        <f ca="1"/>
        <v>92.36</v>
      </c>
      <c r="E115" vm="371">
        <f ca="1"/>
        <v>94.65</v>
      </c>
    </row>
    <row r="116" spans="1:5" x14ac:dyDescent="0.3">
      <c r="A116" vm="519">
        <f ca="1"/>
        <v>44867</v>
      </c>
      <c r="B116" vm="520">
        <f ca="1"/>
        <v>94.67</v>
      </c>
      <c r="C116" vm="521">
        <f ca="1"/>
        <v>96.47</v>
      </c>
      <c r="D116" vm="522">
        <f ca="1"/>
        <v>93.99</v>
      </c>
      <c r="E116" vm="505">
        <f ca="1"/>
        <v>96.16</v>
      </c>
    </row>
    <row r="117" spans="1:5" x14ac:dyDescent="0.3">
      <c r="A117" vm="523">
        <f ca="1"/>
        <v>44868</v>
      </c>
      <c r="B117" vm="291">
        <f ca="1"/>
        <v>95.66</v>
      </c>
      <c r="C117" vm="524">
        <f ca="1"/>
        <v>95.94</v>
      </c>
      <c r="D117" vm="525">
        <f ca="1"/>
        <v>94.16</v>
      </c>
      <c r="E117" vm="520">
        <f ca="1"/>
        <v>94.67</v>
      </c>
    </row>
    <row r="118" spans="1:5" x14ac:dyDescent="0.3">
      <c r="A118" vm="526">
        <f ca="1"/>
        <v>44869</v>
      </c>
      <c r="B118" vm="527">
        <f ca="1"/>
        <v>94.48</v>
      </c>
      <c r="C118" vm="528">
        <f ca="1"/>
        <v>98.82</v>
      </c>
      <c r="D118" vm="529">
        <f ca="1"/>
        <v>94.34</v>
      </c>
      <c r="E118" vm="530">
        <f ca="1"/>
        <v>98.57</v>
      </c>
    </row>
    <row r="119" spans="1:5" x14ac:dyDescent="0.3">
      <c r="A119" vm="531">
        <f ca="1"/>
        <v>44872</v>
      </c>
      <c r="B119" vm="532">
        <f ca="1"/>
        <v>97.78</v>
      </c>
      <c r="C119" vm="533">
        <f ca="1"/>
        <v>99.56</v>
      </c>
      <c r="D119" vm="534">
        <f ca="1"/>
        <v>96.7</v>
      </c>
      <c r="E119" vm="445">
        <f ca="1"/>
        <v>97.92</v>
      </c>
    </row>
    <row r="120" spans="1:5" x14ac:dyDescent="0.3">
      <c r="A120" vm="535">
        <f ca="1"/>
        <v>44873</v>
      </c>
      <c r="B120" vm="536">
        <f ca="1"/>
        <v>98</v>
      </c>
      <c r="C120" vm="537">
        <f ca="1"/>
        <v>98.27</v>
      </c>
      <c r="D120" vm="538">
        <f ca="1"/>
        <v>94.98</v>
      </c>
      <c r="E120" vm="539">
        <f ca="1"/>
        <v>95.36</v>
      </c>
    </row>
    <row r="121" spans="1:5" x14ac:dyDescent="0.3">
      <c r="A121" vm="540">
        <f ca="1"/>
        <v>44874</v>
      </c>
      <c r="B121" vm="438">
        <f ca="1"/>
        <v>95.01</v>
      </c>
      <c r="C121" vm="503">
        <f ca="1"/>
        <v>95.69</v>
      </c>
      <c r="D121" vm="355">
        <f ca="1"/>
        <v>92.3</v>
      </c>
      <c r="E121" vm="476">
        <f ca="1"/>
        <v>92.65</v>
      </c>
    </row>
    <row r="122" spans="1:5" x14ac:dyDescent="0.3">
      <c r="A122" vm="541">
        <f ca="1"/>
        <v>44875</v>
      </c>
      <c r="B122" vm="542">
        <f ca="1"/>
        <v>92.54</v>
      </c>
      <c r="C122" vm="543">
        <f ca="1"/>
        <v>94.31</v>
      </c>
      <c r="D122" vm="544">
        <f ca="1"/>
        <v>91.69</v>
      </c>
      <c r="E122" vm="545">
        <f ca="1"/>
        <v>93.67</v>
      </c>
    </row>
    <row r="123" spans="1:5" x14ac:dyDescent="0.3">
      <c r="A123" vm="546">
        <f ca="1"/>
        <v>44876</v>
      </c>
      <c r="B123" vm="547">
        <f ca="1"/>
        <v>93.27</v>
      </c>
      <c r="C123" vm="548">
        <f ca="1"/>
        <v>96.92</v>
      </c>
      <c r="D123" vm="547">
        <f ca="1"/>
        <v>93.27</v>
      </c>
      <c r="E123" vm="549">
        <f ca="1"/>
        <v>95.99</v>
      </c>
    </row>
    <row r="124" spans="1:5" x14ac:dyDescent="0.3">
      <c r="A124" vm="550">
        <f ca="1"/>
        <v>44879</v>
      </c>
      <c r="B124" vm="551">
        <f ca="1"/>
        <v>95.97</v>
      </c>
      <c r="C124" vm="548">
        <f ca="1"/>
        <v>96.92</v>
      </c>
      <c r="D124" vm="552">
        <f ca="1"/>
        <v>92.49</v>
      </c>
      <c r="E124" vm="553">
        <f ca="1"/>
        <v>93.14</v>
      </c>
    </row>
    <row r="125" spans="1:5" x14ac:dyDescent="0.3">
      <c r="A125" vm="554">
        <f ca="1"/>
        <v>44880</v>
      </c>
      <c r="B125" vm="555">
        <f ca="1"/>
        <v>92.53</v>
      </c>
      <c r="C125" vm="556">
        <f ca="1"/>
        <v>95.75</v>
      </c>
      <c r="D125" vm="557">
        <f ca="1"/>
        <v>91.53</v>
      </c>
      <c r="E125" vm="558">
        <f ca="1"/>
        <v>93.86</v>
      </c>
    </row>
    <row r="126" spans="1:5" x14ac:dyDescent="0.3">
      <c r="A126" vm="559">
        <f ca="1"/>
        <v>44881</v>
      </c>
      <c r="B126" vm="560">
        <f ca="1"/>
        <v>93.76</v>
      </c>
      <c r="C126" vm="327">
        <f ca="1"/>
        <v>94.78</v>
      </c>
      <c r="D126" vm="561">
        <f ca="1"/>
        <v>91.68</v>
      </c>
      <c r="E126" vm="562">
        <f ca="1"/>
        <v>92.86</v>
      </c>
    </row>
    <row r="127" spans="1:5" x14ac:dyDescent="0.3">
      <c r="A127" vm="563">
        <f ca="1"/>
        <v>44882</v>
      </c>
      <c r="B127" vm="340">
        <f ca="1"/>
        <v>92.8</v>
      </c>
      <c r="C127" vm="564">
        <f ca="1"/>
        <v>92.88</v>
      </c>
      <c r="D127" vm="565">
        <f ca="1"/>
        <v>89.54</v>
      </c>
      <c r="E127" vm="566">
        <f ca="1"/>
        <v>89.78</v>
      </c>
    </row>
    <row r="128" spans="1:5" x14ac:dyDescent="0.3">
      <c r="A128" vm="567">
        <f ca="1"/>
        <v>44883</v>
      </c>
      <c r="B128" vm="568">
        <f ca="1"/>
        <v>89.98</v>
      </c>
      <c r="C128" vm="569">
        <f ca="1"/>
        <v>90.61</v>
      </c>
      <c r="D128" vm="570">
        <f ca="1"/>
        <v>85.79</v>
      </c>
      <c r="E128" vm="571">
        <f ca="1"/>
        <v>87.62</v>
      </c>
    </row>
    <row r="129" spans="1:5" x14ac:dyDescent="0.3">
      <c r="A129" vm="572">
        <f ca="1"/>
        <v>44886</v>
      </c>
      <c r="B129" vm="573">
        <f ca="1"/>
        <v>87.8</v>
      </c>
      <c r="C129" vm="574">
        <f ca="1"/>
        <v>88.04</v>
      </c>
      <c r="D129" vm="575">
        <f ca="1"/>
        <v>82.32</v>
      </c>
      <c r="E129" vm="417">
        <f ca="1"/>
        <v>87.45</v>
      </c>
    </row>
    <row r="130" spans="1:5" x14ac:dyDescent="0.3">
      <c r="A130" vm="576">
        <f ca="1"/>
        <v>44887</v>
      </c>
      <c r="B130" vm="577">
        <f ca="1"/>
        <v>87.65</v>
      </c>
      <c r="C130" vm="578">
        <f ca="1"/>
        <v>89.88</v>
      </c>
      <c r="D130" vm="579">
        <f ca="1"/>
        <v>87.37</v>
      </c>
      <c r="E130" vm="580">
        <f ca="1"/>
        <v>88.36</v>
      </c>
    </row>
    <row r="131" spans="1:5" x14ac:dyDescent="0.3">
      <c r="A131" vm="581">
        <f ca="1"/>
        <v>44888</v>
      </c>
      <c r="B131" vm="582">
        <f ca="1"/>
        <v>88.41</v>
      </c>
      <c r="C131" vm="565">
        <f ca="1"/>
        <v>89.54</v>
      </c>
      <c r="D131" vm="583">
        <f ca="1"/>
        <v>84.12</v>
      </c>
      <c r="E131" vm="584">
        <f ca="1"/>
        <v>85.41</v>
      </c>
    </row>
    <row r="132" spans="1:5" x14ac:dyDescent="0.3">
      <c r="A132" vm="585">
        <f ca="1"/>
        <v>44889</v>
      </c>
      <c r="B132" t="e" vm="12">
        <f ca="1"/>
        <v>#N/A</v>
      </c>
      <c r="C132" t="e" vm="12">
        <f ca="1"/>
        <v>#N/A</v>
      </c>
      <c r="D132" t="e" vm="12">
        <f ca="1"/>
        <v>#N/A</v>
      </c>
      <c r="E132" t="e" vm="12">
        <f ca="1"/>
        <v>#N/A</v>
      </c>
    </row>
    <row r="133" spans="1:5" x14ac:dyDescent="0.3">
      <c r="A133" vm="586">
        <f ca="1"/>
        <v>44890</v>
      </c>
      <c r="B133" vm="587">
        <f ca="1"/>
        <v>84.94</v>
      </c>
      <c r="C133" vm="588">
        <f ca="1"/>
        <v>86.9</v>
      </c>
      <c r="D133" vm="589">
        <f ca="1"/>
        <v>83.56</v>
      </c>
      <c r="E133" vm="403">
        <f ca="1"/>
        <v>83.63</v>
      </c>
    </row>
    <row r="134" spans="1:5" x14ac:dyDescent="0.3">
      <c r="A134" vm="590">
        <f ca="1"/>
        <v>44893</v>
      </c>
      <c r="B134" vm="591">
        <f ca="1"/>
        <v>83.8</v>
      </c>
      <c r="C134" vm="592">
        <f ca="1"/>
        <v>84.05</v>
      </c>
      <c r="D134" vm="593">
        <f ca="1"/>
        <v>80.64</v>
      </c>
      <c r="E134" vm="594">
        <f ca="1"/>
        <v>83.19</v>
      </c>
    </row>
    <row r="135" spans="1:5" x14ac:dyDescent="0.3">
      <c r="A135" vm="595">
        <f ca="1"/>
        <v>44894</v>
      </c>
      <c r="B135" vm="596">
        <f ca="1"/>
        <v>82.33</v>
      </c>
      <c r="C135" vm="597">
        <f ca="1"/>
        <v>86</v>
      </c>
      <c r="D135" vm="598">
        <f ca="1"/>
        <v>82.19</v>
      </c>
      <c r="E135" vm="599">
        <f ca="1"/>
        <v>83.03</v>
      </c>
    </row>
    <row r="136" spans="1:5" x14ac:dyDescent="0.3">
      <c r="A136" vm="600">
        <f ca="1"/>
        <v>44895</v>
      </c>
      <c r="B136" vm="601">
        <f ca="1"/>
        <v>83.58</v>
      </c>
      <c r="C136" vm="602">
        <f ca="1"/>
        <v>85.82</v>
      </c>
      <c r="D136" vm="603">
        <f ca="1"/>
        <v>83.51</v>
      </c>
      <c r="E136" vm="604">
        <f ca="1"/>
        <v>85.43</v>
      </c>
    </row>
    <row r="137" spans="1:5" x14ac:dyDescent="0.3">
      <c r="A137" vm="605">
        <f ca="1"/>
        <v>44896</v>
      </c>
      <c r="B137" vm="606">
        <f ca="1"/>
        <v>86.6</v>
      </c>
      <c r="C137" vm="607">
        <f ca="1"/>
        <v>89.41</v>
      </c>
      <c r="D137" vm="608">
        <f ca="1"/>
        <v>86.25</v>
      </c>
      <c r="E137" vm="609">
        <f ca="1"/>
        <v>86.88</v>
      </c>
    </row>
    <row r="138" spans="1:5" x14ac:dyDescent="0.3">
      <c r="A138" vm="610">
        <f ca="1"/>
        <v>44897</v>
      </c>
      <c r="B138" vm="407">
        <f ca="1"/>
        <v>87.13</v>
      </c>
      <c r="C138" vm="611">
        <f ca="1"/>
        <v>87.89</v>
      </c>
      <c r="D138" vm="612">
        <f ca="1"/>
        <v>85.19</v>
      </c>
      <c r="E138" vm="613">
        <f ca="1"/>
        <v>85.57</v>
      </c>
    </row>
    <row r="139" spans="1:5" x14ac:dyDescent="0.3">
      <c r="A139" vm="614">
        <f ca="1"/>
        <v>44900</v>
      </c>
      <c r="B139" vm="615">
        <f ca="1"/>
        <v>85.52</v>
      </c>
      <c r="C139" vm="616">
        <f ca="1"/>
        <v>88.43</v>
      </c>
      <c r="D139" vm="617">
        <f ca="1"/>
        <v>82.54</v>
      </c>
      <c r="E139" vm="618">
        <f ca="1"/>
        <v>82.68</v>
      </c>
    </row>
    <row r="140" spans="1:5" x14ac:dyDescent="0.3">
      <c r="A140" vm="619">
        <f ca="1"/>
        <v>44901</v>
      </c>
      <c r="B140" vm="620">
        <f ca="1"/>
        <v>83.09</v>
      </c>
      <c r="C140" vm="621">
        <f ca="1"/>
        <v>83.67</v>
      </c>
      <c r="D140" vm="622">
        <f ca="1"/>
        <v>78.709999999999994</v>
      </c>
      <c r="E140" vm="623">
        <f ca="1"/>
        <v>79.349999999999994</v>
      </c>
    </row>
    <row r="141" spans="1:5" x14ac:dyDescent="0.3">
      <c r="A141" vm="624">
        <f ca="1"/>
        <v>44902</v>
      </c>
      <c r="B141" vm="625">
        <f ca="1"/>
        <v>79.790000000000006</v>
      </c>
      <c r="C141" vm="626">
        <f ca="1"/>
        <v>80.48</v>
      </c>
      <c r="D141" vm="627">
        <f ca="1"/>
        <v>76.94</v>
      </c>
      <c r="E141" vm="628">
        <f ca="1"/>
        <v>77.17</v>
      </c>
    </row>
    <row r="142" spans="1:5" x14ac:dyDescent="0.3">
      <c r="A142" vm="629">
        <f ca="1"/>
        <v>44903</v>
      </c>
      <c r="B142" vm="630">
        <f ca="1"/>
        <v>77.489999999999995</v>
      </c>
      <c r="C142" vm="631">
        <f ca="1"/>
        <v>79.180000000000007</v>
      </c>
      <c r="D142" vm="632">
        <f ca="1"/>
        <v>75.760000000000005</v>
      </c>
      <c r="E142" vm="633">
        <f ca="1"/>
        <v>76.150000000000006</v>
      </c>
    </row>
    <row r="143" spans="1:5" x14ac:dyDescent="0.3">
      <c r="A143" vm="634">
        <f ca="1"/>
        <v>44904</v>
      </c>
      <c r="B143" vm="635">
        <f ca="1"/>
        <v>76.73</v>
      </c>
      <c r="C143" vm="636">
        <f ca="1"/>
        <v>77.47</v>
      </c>
      <c r="D143" vm="637">
        <f ca="1"/>
        <v>75.11</v>
      </c>
      <c r="E143" vm="638">
        <f ca="1"/>
        <v>76.099999999999994</v>
      </c>
    </row>
    <row r="144" spans="1:5" x14ac:dyDescent="0.3">
      <c r="A144" vm="639">
        <f ca="1"/>
        <v>44907</v>
      </c>
      <c r="B144" vm="640">
        <f ca="1"/>
        <v>76.67</v>
      </c>
      <c r="C144" vm="641">
        <f ca="1"/>
        <v>78.58</v>
      </c>
      <c r="D144" vm="642">
        <f ca="1"/>
        <v>75.260000000000005</v>
      </c>
      <c r="E144" vm="643">
        <f ca="1"/>
        <v>77.989999999999995</v>
      </c>
    </row>
    <row r="145" spans="1:5" x14ac:dyDescent="0.3">
      <c r="A145" vm="644">
        <f ca="1"/>
        <v>44908</v>
      </c>
      <c r="B145" vm="645">
        <f ca="1"/>
        <v>78.19</v>
      </c>
      <c r="C145" vm="646">
        <f ca="1"/>
        <v>81.28</v>
      </c>
      <c r="D145" vm="647">
        <f ca="1"/>
        <v>78.040000000000006</v>
      </c>
      <c r="E145" vm="648">
        <f ca="1"/>
        <v>80.680000000000007</v>
      </c>
    </row>
    <row r="146" spans="1:5" x14ac:dyDescent="0.3">
      <c r="A146" vm="649">
        <f ca="1"/>
        <v>44909</v>
      </c>
      <c r="B146" vm="650">
        <f ca="1"/>
        <v>80.34</v>
      </c>
      <c r="C146" vm="651">
        <f ca="1"/>
        <v>83.14</v>
      </c>
      <c r="D146" vm="652">
        <f ca="1"/>
        <v>80.13</v>
      </c>
      <c r="E146" vm="653">
        <f ca="1"/>
        <v>82.7</v>
      </c>
    </row>
    <row r="147" spans="1:5" x14ac:dyDescent="0.3">
      <c r="A147" vm="654">
        <f ca="1"/>
        <v>44910</v>
      </c>
      <c r="B147" vm="655">
        <f ca="1"/>
        <v>82.84</v>
      </c>
      <c r="C147" vm="594">
        <f ca="1"/>
        <v>83.19</v>
      </c>
      <c r="D147" vm="656">
        <f ca="1"/>
        <v>80.83</v>
      </c>
      <c r="E147" vm="657">
        <f ca="1"/>
        <v>81.209999999999994</v>
      </c>
    </row>
    <row r="148" spans="1:5" x14ac:dyDescent="0.3">
      <c r="A148" vm="658">
        <f ca="1"/>
        <v>44911</v>
      </c>
      <c r="B148" vm="659">
        <f ca="1"/>
        <v>81.34</v>
      </c>
      <c r="C148" vm="660">
        <f ca="1"/>
        <v>81.760000000000005</v>
      </c>
      <c r="D148" vm="661">
        <f ca="1"/>
        <v>78.28</v>
      </c>
      <c r="E148" vm="662">
        <f ca="1"/>
        <v>79.040000000000006</v>
      </c>
    </row>
    <row r="149" spans="1:5" x14ac:dyDescent="0.3">
      <c r="A149" vm="663">
        <f ca="1"/>
        <v>44914</v>
      </c>
      <c r="B149" vm="664">
        <f ca="1"/>
        <v>79.09</v>
      </c>
      <c r="C149" vm="665">
        <f ca="1"/>
        <v>80.89</v>
      </c>
      <c r="D149" vm="666">
        <f ca="1"/>
        <v>78.63</v>
      </c>
      <c r="E149" vm="667">
        <f ca="1"/>
        <v>79.8</v>
      </c>
    </row>
    <row r="150" spans="1:5" x14ac:dyDescent="0.3">
      <c r="A150" vm="668">
        <f ca="1"/>
        <v>44915</v>
      </c>
      <c r="B150" vm="669">
        <f ca="1"/>
        <v>80.28</v>
      </c>
      <c r="C150" vm="670">
        <f ca="1"/>
        <v>80.900000000000006</v>
      </c>
      <c r="D150" vm="671">
        <f ca="1"/>
        <v>78.3</v>
      </c>
      <c r="E150" vm="672">
        <f ca="1"/>
        <v>79.989999999999995</v>
      </c>
    </row>
    <row r="151" spans="1:5" x14ac:dyDescent="0.3">
      <c r="A151" vm="673">
        <f ca="1"/>
        <v>44916</v>
      </c>
      <c r="B151" vm="674">
        <f ca="1"/>
        <v>79.95</v>
      </c>
      <c r="C151" vm="617">
        <f ca="1"/>
        <v>82.54</v>
      </c>
      <c r="D151" vm="675">
        <f ca="1"/>
        <v>79.599999999999994</v>
      </c>
      <c r="E151" vm="676">
        <f ca="1"/>
        <v>82.2</v>
      </c>
    </row>
    <row r="152" spans="1:5" x14ac:dyDescent="0.3">
      <c r="A152" vm="677">
        <f ca="1"/>
        <v>44917</v>
      </c>
      <c r="B152" vm="678">
        <f ca="1"/>
        <v>82.37</v>
      </c>
      <c r="C152" vm="679">
        <f ca="1"/>
        <v>83.86</v>
      </c>
      <c r="D152" vm="648">
        <f ca="1"/>
        <v>80.680000000000007</v>
      </c>
      <c r="E152" vm="680">
        <f ca="1"/>
        <v>80.98</v>
      </c>
    </row>
    <row r="153" spans="1:5" x14ac:dyDescent="0.3">
      <c r="A153" vm="681">
        <f ca="1"/>
        <v>44918</v>
      </c>
      <c r="B153" vm="682">
        <f ca="1"/>
        <v>81.73</v>
      </c>
      <c r="C153" vm="683">
        <f ca="1"/>
        <v>84.37</v>
      </c>
      <c r="D153" vm="659">
        <f ca="1"/>
        <v>81.34</v>
      </c>
      <c r="E153" vm="684">
        <f ca="1"/>
        <v>83.92</v>
      </c>
    </row>
    <row r="154" spans="1:5" x14ac:dyDescent="0.3">
      <c r="A154" vm="685">
        <f ca="1"/>
        <v>44921</v>
      </c>
      <c r="B154" t="e" vm="12">
        <f ca="1"/>
        <v>#N/A</v>
      </c>
      <c r="C154" t="e" vm="12">
        <f ca="1"/>
        <v>#N/A</v>
      </c>
      <c r="D154" t="e" vm="12">
        <f ca="1"/>
        <v>#N/A</v>
      </c>
      <c r="E154" t="e" vm="12">
        <f ca="1"/>
        <v>#N/A</v>
      </c>
    </row>
    <row r="155" spans="1:5" x14ac:dyDescent="0.3">
      <c r="A155" vm="686">
        <f ca="1"/>
        <v>44922</v>
      </c>
      <c r="B155" vm="687">
        <f ca="1"/>
        <v>84.46</v>
      </c>
      <c r="C155" vm="688">
        <f ca="1"/>
        <v>85.67</v>
      </c>
      <c r="D155" vm="689">
        <f ca="1"/>
        <v>83.66</v>
      </c>
      <c r="E155" vm="690">
        <f ca="1"/>
        <v>84.33</v>
      </c>
    </row>
    <row r="156" spans="1:5" x14ac:dyDescent="0.3">
      <c r="A156" vm="691">
        <f ca="1"/>
        <v>44923</v>
      </c>
      <c r="B156" vm="692">
        <f ca="1"/>
        <v>84.6</v>
      </c>
      <c r="C156" vm="693">
        <f ca="1"/>
        <v>84.64</v>
      </c>
      <c r="D156" vm="694">
        <f ca="1"/>
        <v>81.95</v>
      </c>
      <c r="E156" vm="695">
        <f ca="1"/>
        <v>83.26</v>
      </c>
    </row>
    <row r="157" spans="1:5" x14ac:dyDescent="0.3">
      <c r="A157" vm="696">
        <f ca="1"/>
        <v>44924</v>
      </c>
      <c r="B157" vm="697">
        <f ca="1"/>
        <v>82.86</v>
      </c>
      <c r="C157" vm="698">
        <f ca="1"/>
        <v>82.91</v>
      </c>
      <c r="D157" vm="699">
        <f ca="1"/>
        <v>81.3</v>
      </c>
      <c r="E157" vm="700">
        <f ca="1"/>
        <v>82.26</v>
      </c>
    </row>
    <row r="158" spans="1:5" x14ac:dyDescent="0.3">
      <c r="A158" vm="701">
        <f ca="1"/>
        <v>44925</v>
      </c>
      <c r="B158" vm="689">
        <f ca="1"/>
        <v>83.66</v>
      </c>
      <c r="C158" vm="702">
        <f ca="1"/>
        <v>86.28</v>
      </c>
      <c r="D158" vm="703">
        <f ca="1"/>
        <v>82.88</v>
      </c>
      <c r="E158" vm="704">
        <f ca="1"/>
        <v>85.91</v>
      </c>
    </row>
    <row r="159" spans="1:5" x14ac:dyDescent="0.3">
      <c r="A159" vm="705">
        <f ca="1"/>
        <v>44928</v>
      </c>
      <c r="B159" t="e" vm="12">
        <f ca="1"/>
        <v>#N/A</v>
      </c>
      <c r="C159" t="e" vm="12">
        <f ca="1"/>
        <v>#N/A</v>
      </c>
      <c r="D159" t="e" vm="12">
        <f ca="1"/>
        <v>#N/A</v>
      </c>
      <c r="E159" t="e" vm="12">
        <f ca="1"/>
        <v>#N/A</v>
      </c>
    </row>
    <row r="160" spans="1:5" x14ac:dyDescent="0.3">
      <c r="A160" vm="706">
        <f ca="1"/>
        <v>44929</v>
      </c>
      <c r="B160" vm="707">
        <f ca="1"/>
        <v>86.04</v>
      </c>
      <c r="C160" vm="708">
        <f ca="1"/>
        <v>87.02</v>
      </c>
      <c r="D160" vm="709">
        <f ca="1"/>
        <v>81.77</v>
      </c>
      <c r="E160" vm="710">
        <f ca="1"/>
        <v>82.1</v>
      </c>
    </row>
    <row r="161" spans="1:5" x14ac:dyDescent="0.3">
      <c r="A161" vm="711">
        <f ca="1"/>
        <v>44930</v>
      </c>
      <c r="B161" vm="712">
        <f ca="1"/>
        <v>82.23</v>
      </c>
      <c r="C161" vm="713">
        <f ca="1"/>
        <v>82.67</v>
      </c>
      <c r="D161" vm="714">
        <f ca="1"/>
        <v>77.72</v>
      </c>
      <c r="E161" vm="715">
        <f ca="1"/>
        <v>77.84</v>
      </c>
    </row>
    <row r="162" spans="1:5" x14ac:dyDescent="0.3">
      <c r="A162" vm="716">
        <f ca="1"/>
        <v>44931</v>
      </c>
      <c r="B162" vm="717">
        <f ca="1"/>
        <v>78.09</v>
      </c>
      <c r="C162" vm="718">
        <f ca="1"/>
        <v>79.959999999999994</v>
      </c>
      <c r="D162" vm="719">
        <f ca="1"/>
        <v>77.61</v>
      </c>
      <c r="E162" vm="720">
        <f ca="1"/>
        <v>78.69</v>
      </c>
    </row>
    <row r="163" spans="1:5" x14ac:dyDescent="0.3">
      <c r="A163" vm="721">
        <f ca="1"/>
        <v>44932</v>
      </c>
      <c r="B163" vm="722">
        <f ca="1"/>
        <v>78.81</v>
      </c>
      <c r="C163" vm="723">
        <f ca="1"/>
        <v>80.569999999999993</v>
      </c>
      <c r="D163" vm="724">
        <f ca="1"/>
        <v>78.05</v>
      </c>
      <c r="E163" vm="725">
        <f ca="1"/>
        <v>78.569999999999993</v>
      </c>
    </row>
    <row r="164" spans="1:5" x14ac:dyDescent="0.3">
      <c r="A164" vm="726">
        <f ca="1"/>
        <v>44935</v>
      </c>
      <c r="B164" vm="727">
        <f ca="1"/>
        <v>78.48</v>
      </c>
      <c r="C164" vm="728">
        <f ca="1"/>
        <v>81.37</v>
      </c>
      <c r="D164" vm="729">
        <f ca="1"/>
        <v>78.34</v>
      </c>
      <c r="E164" vm="730">
        <f ca="1"/>
        <v>79.650000000000006</v>
      </c>
    </row>
    <row r="165" spans="1:5" x14ac:dyDescent="0.3">
      <c r="A165" vm="731">
        <f ca="1"/>
        <v>44936</v>
      </c>
      <c r="B165" vm="732">
        <f ca="1"/>
        <v>79.709999999999994</v>
      </c>
      <c r="C165" vm="733">
        <f ca="1"/>
        <v>80.88</v>
      </c>
      <c r="D165" vm="722">
        <f ca="1"/>
        <v>78.81</v>
      </c>
      <c r="E165" vm="734">
        <f ca="1"/>
        <v>80.099999999999994</v>
      </c>
    </row>
    <row r="166" spans="1:5" x14ac:dyDescent="0.3">
      <c r="A166" vm="735">
        <f ca="1"/>
        <v>44937</v>
      </c>
      <c r="B166" vm="736">
        <f ca="1"/>
        <v>79.59</v>
      </c>
      <c r="C166" vm="737">
        <f ca="1"/>
        <v>82.97</v>
      </c>
      <c r="D166" vm="738">
        <f ca="1"/>
        <v>79.3</v>
      </c>
      <c r="E166" vm="713">
        <f ca="1"/>
        <v>82.67</v>
      </c>
    </row>
    <row r="167" spans="1:5" x14ac:dyDescent="0.3">
      <c r="A167" vm="739">
        <f ca="1"/>
        <v>44938</v>
      </c>
      <c r="B167" vm="697">
        <f ca="1"/>
        <v>82.86</v>
      </c>
      <c r="C167" vm="740">
        <f ca="1"/>
        <v>84.61</v>
      </c>
      <c r="D167" vm="741">
        <f ca="1"/>
        <v>82.38</v>
      </c>
      <c r="E167" vm="742">
        <f ca="1"/>
        <v>84.03</v>
      </c>
    </row>
    <row r="168" spans="1:5" x14ac:dyDescent="0.3">
      <c r="A168" vm="743">
        <f ca="1"/>
        <v>44939</v>
      </c>
      <c r="B168" vm="744">
        <f ca="1"/>
        <v>83.95</v>
      </c>
      <c r="C168" vm="745">
        <f ca="1"/>
        <v>85.49</v>
      </c>
      <c r="D168" vm="746">
        <f ca="1"/>
        <v>83.49</v>
      </c>
      <c r="E168" vm="747">
        <f ca="1"/>
        <v>85.28</v>
      </c>
    </row>
    <row r="169" spans="1:5" x14ac:dyDescent="0.3">
      <c r="A169" vm="748">
        <f ca="1"/>
        <v>44942</v>
      </c>
      <c r="B169" t="e" vm="12">
        <f ca="1"/>
        <v>#N/A</v>
      </c>
      <c r="C169" t="e" vm="12">
        <f ca="1"/>
        <v>#N/A</v>
      </c>
      <c r="D169" t="e" vm="12">
        <f ca="1"/>
        <v>#N/A</v>
      </c>
      <c r="E169" t="e" vm="12">
        <f ca="1"/>
        <v>#N/A</v>
      </c>
    </row>
    <row r="170" spans="1:5" x14ac:dyDescent="0.3">
      <c r="A170" vm="749">
        <f ca="1"/>
        <v>44943</v>
      </c>
      <c r="B170" vm="750">
        <f ca="1"/>
        <v>85.44</v>
      </c>
      <c r="C170" vm="751">
        <f ca="1"/>
        <v>86.82</v>
      </c>
      <c r="D170" vm="679">
        <f ca="1"/>
        <v>83.86</v>
      </c>
      <c r="E170" vm="752">
        <f ca="1"/>
        <v>85.92</v>
      </c>
    </row>
    <row r="171" spans="1:5" x14ac:dyDescent="0.3">
      <c r="A171" vm="753">
        <f ca="1"/>
        <v>44944</v>
      </c>
      <c r="B171" vm="401">
        <f ca="1"/>
        <v>86.72</v>
      </c>
      <c r="C171" vm="754">
        <f ca="1"/>
        <v>87.84</v>
      </c>
      <c r="D171" vm="755">
        <f ca="1"/>
        <v>84.4</v>
      </c>
      <c r="E171" vm="756">
        <f ca="1"/>
        <v>84.98</v>
      </c>
    </row>
    <row r="172" spans="1:5" x14ac:dyDescent="0.3">
      <c r="A172" vm="757">
        <f ca="1"/>
        <v>44945</v>
      </c>
      <c r="B172" vm="758">
        <f ca="1"/>
        <v>84.59</v>
      </c>
      <c r="C172" vm="759">
        <f ca="1"/>
        <v>86.85</v>
      </c>
      <c r="D172" vm="760">
        <f ca="1"/>
        <v>83.74</v>
      </c>
      <c r="E172" vm="761">
        <f ca="1"/>
        <v>86.16</v>
      </c>
    </row>
    <row r="173" spans="1:5" x14ac:dyDescent="0.3">
      <c r="A173" vm="762">
        <f ca="1"/>
        <v>44946</v>
      </c>
      <c r="B173" vm="763">
        <f ca="1"/>
        <v>86.36</v>
      </c>
      <c r="C173" vm="764">
        <f ca="1"/>
        <v>87.77</v>
      </c>
      <c r="D173" vm="765">
        <f ca="1"/>
        <v>85.58</v>
      </c>
      <c r="E173" vm="766">
        <f ca="1"/>
        <v>87.63</v>
      </c>
    </row>
    <row r="174" spans="1:5" x14ac:dyDescent="0.3">
      <c r="A174" vm="767">
        <f ca="1"/>
        <v>44949</v>
      </c>
      <c r="B174" vm="768">
        <f ca="1"/>
        <v>87.81</v>
      </c>
      <c r="C174" vm="769">
        <f ca="1"/>
        <v>89.1</v>
      </c>
      <c r="D174" vm="770">
        <f ca="1"/>
        <v>86.93</v>
      </c>
      <c r="E174" vm="771">
        <f ca="1"/>
        <v>88.19</v>
      </c>
    </row>
    <row r="175" spans="1:5" x14ac:dyDescent="0.3">
      <c r="A175" vm="772">
        <f ca="1"/>
        <v>44950</v>
      </c>
      <c r="B175" vm="773">
        <f ca="1"/>
        <v>88.03</v>
      </c>
      <c r="C175" vm="774">
        <f ca="1"/>
        <v>88.71</v>
      </c>
      <c r="D175" vm="775">
        <f ca="1"/>
        <v>85.81</v>
      </c>
      <c r="E175" vm="776">
        <f ca="1"/>
        <v>86.13</v>
      </c>
    </row>
    <row r="176" spans="1:5" x14ac:dyDescent="0.3">
      <c r="A176" vm="777">
        <f ca="1"/>
        <v>44951</v>
      </c>
      <c r="B176" vm="778">
        <f ca="1"/>
        <v>86.3</v>
      </c>
      <c r="C176" vm="779">
        <f ca="1"/>
        <v>87.01</v>
      </c>
      <c r="D176" vm="584">
        <f ca="1"/>
        <v>85.41</v>
      </c>
      <c r="E176" vm="780">
        <f ca="1"/>
        <v>86.12</v>
      </c>
    </row>
    <row r="177" spans="1:5" x14ac:dyDescent="0.3">
      <c r="A177" vm="781">
        <f ca="1"/>
        <v>44952</v>
      </c>
      <c r="B177" vm="776">
        <f ca="1"/>
        <v>86.13</v>
      </c>
      <c r="C177" vm="782">
        <f ca="1"/>
        <v>88.01</v>
      </c>
      <c r="D177" vm="783">
        <f ca="1"/>
        <v>85.78</v>
      </c>
      <c r="E177" vm="784">
        <f ca="1"/>
        <v>87.47</v>
      </c>
    </row>
    <row r="178" spans="1:5" x14ac:dyDescent="0.3">
      <c r="A178" vm="785">
        <f ca="1"/>
        <v>44953</v>
      </c>
      <c r="B178" vm="786">
        <f ca="1"/>
        <v>87.6</v>
      </c>
      <c r="C178" vm="787">
        <f ca="1"/>
        <v>88.91</v>
      </c>
      <c r="D178" vm="788">
        <f ca="1"/>
        <v>85.68</v>
      </c>
      <c r="E178" vm="789">
        <f ca="1"/>
        <v>86.66</v>
      </c>
    </row>
    <row r="179" spans="1:5" x14ac:dyDescent="0.3">
      <c r="A179" vm="790">
        <f ca="1"/>
        <v>44956</v>
      </c>
      <c r="B179" vm="791">
        <f ca="1"/>
        <v>86.8</v>
      </c>
      <c r="C179" vm="579">
        <f ca="1"/>
        <v>87.37</v>
      </c>
      <c r="D179" vm="792">
        <f ca="1"/>
        <v>84.75</v>
      </c>
      <c r="E179" vm="793">
        <f ca="1"/>
        <v>84.9</v>
      </c>
    </row>
    <row r="180" spans="1:5" x14ac:dyDescent="0.3">
      <c r="A180" vm="794">
        <f ca="1"/>
        <v>44957</v>
      </c>
      <c r="B180" vm="795">
        <f ca="1"/>
        <v>85.16</v>
      </c>
      <c r="C180" vm="795">
        <f ca="1"/>
        <v>85.16</v>
      </c>
      <c r="D180" vm="796">
        <f ca="1"/>
        <v>83.69</v>
      </c>
      <c r="E180" vm="797">
        <f ca="1"/>
        <v>84.49</v>
      </c>
    </row>
    <row r="181" spans="1:5" x14ac:dyDescent="0.3">
      <c r="A181" vm="798">
        <f ca="1"/>
        <v>44958</v>
      </c>
      <c r="B181" vm="615">
        <f ca="1"/>
        <v>85.52</v>
      </c>
      <c r="C181" vm="799">
        <f ca="1"/>
        <v>86.2</v>
      </c>
      <c r="D181" vm="678">
        <f ca="1"/>
        <v>82.37</v>
      </c>
      <c r="E181" vm="655">
        <f ca="1"/>
        <v>82.84</v>
      </c>
    </row>
    <row r="182" spans="1:5" x14ac:dyDescent="0.3">
      <c r="A182" vm="800">
        <f ca="1"/>
        <v>44959</v>
      </c>
      <c r="B182" vm="620">
        <f ca="1"/>
        <v>83.09</v>
      </c>
      <c r="C182" vm="801">
        <f ca="1"/>
        <v>83.6</v>
      </c>
      <c r="D182" vm="802">
        <f ca="1"/>
        <v>81.239999999999995</v>
      </c>
      <c r="E182" vm="803">
        <f ca="1"/>
        <v>82.17</v>
      </c>
    </row>
    <row r="183" spans="1:5" x14ac:dyDescent="0.3">
      <c r="A183" vm="804">
        <f ca="1"/>
        <v>44960</v>
      </c>
      <c r="B183" vm="805">
        <f ca="1"/>
        <v>82.15</v>
      </c>
      <c r="C183" vm="806">
        <f ca="1"/>
        <v>84.19</v>
      </c>
      <c r="D183" vm="807">
        <f ca="1"/>
        <v>79.62</v>
      </c>
      <c r="E183" vm="808">
        <f ca="1"/>
        <v>79.94</v>
      </c>
    </row>
    <row r="184" spans="1:5" x14ac:dyDescent="0.3">
      <c r="A184" vm="809">
        <f ca="1"/>
        <v>44963</v>
      </c>
      <c r="B184" vm="810">
        <f ca="1"/>
        <v>79.75</v>
      </c>
      <c r="C184" vm="811">
        <f ca="1"/>
        <v>81.400000000000006</v>
      </c>
      <c r="D184" vm="664">
        <f ca="1"/>
        <v>79.09</v>
      </c>
      <c r="E184" vm="812">
        <f ca="1"/>
        <v>80.989999999999995</v>
      </c>
    </row>
    <row r="185" spans="1:5" x14ac:dyDescent="0.3">
      <c r="A185" vm="813">
        <f ca="1"/>
        <v>44964</v>
      </c>
      <c r="B185" vm="811">
        <f ca="1"/>
        <v>81.400000000000006</v>
      </c>
      <c r="C185" vm="814">
        <f ca="1"/>
        <v>84.1</v>
      </c>
      <c r="D185" vm="815">
        <f ca="1"/>
        <v>81.180000000000007</v>
      </c>
      <c r="E185" vm="796">
        <f ca="1"/>
        <v>83.69</v>
      </c>
    </row>
    <row r="186" spans="1:5" x14ac:dyDescent="0.3">
      <c r="A186" vm="816">
        <f ca="1"/>
        <v>44965</v>
      </c>
      <c r="B186" vm="742">
        <f ca="1"/>
        <v>84.03</v>
      </c>
      <c r="C186" vm="795">
        <f ca="1"/>
        <v>85.16</v>
      </c>
      <c r="D186" vm="817">
        <f ca="1"/>
        <v>83.5</v>
      </c>
      <c r="E186" vm="818">
        <f ca="1"/>
        <v>85.09</v>
      </c>
    </row>
    <row r="187" spans="1:5" x14ac:dyDescent="0.3">
      <c r="A187" vm="819">
        <f ca="1"/>
        <v>44966</v>
      </c>
      <c r="B187" vm="820">
        <f ca="1"/>
        <v>85.07</v>
      </c>
      <c r="C187" vm="821">
        <f ca="1"/>
        <v>85.5</v>
      </c>
      <c r="D187" vm="822">
        <f ca="1"/>
        <v>83.06</v>
      </c>
      <c r="E187" vm="823">
        <f ca="1"/>
        <v>84.5</v>
      </c>
    </row>
    <row r="188" spans="1:5" x14ac:dyDescent="0.3">
      <c r="A188" vm="824">
        <f ca="1"/>
        <v>44967</v>
      </c>
      <c r="B188" vm="825">
        <f ca="1"/>
        <v>84.23</v>
      </c>
      <c r="C188" vm="826">
        <f ca="1"/>
        <v>86.91</v>
      </c>
      <c r="D188" vm="827">
        <f ca="1"/>
        <v>83.94</v>
      </c>
      <c r="E188" vm="828">
        <f ca="1"/>
        <v>86.39</v>
      </c>
    </row>
    <row r="189" spans="1:5" x14ac:dyDescent="0.3">
      <c r="A189" vm="829">
        <f ca="1"/>
        <v>44970</v>
      </c>
      <c r="B189" vm="606">
        <f ca="1"/>
        <v>86.6</v>
      </c>
      <c r="C189" vm="830">
        <f ca="1"/>
        <v>86.95</v>
      </c>
      <c r="D189" vm="818">
        <f ca="1"/>
        <v>85.09</v>
      </c>
      <c r="E189" vm="831">
        <f ca="1"/>
        <v>86.61</v>
      </c>
    </row>
    <row r="190" spans="1:5" x14ac:dyDescent="0.3">
      <c r="A190" vm="832">
        <f ca="1"/>
        <v>44971</v>
      </c>
      <c r="B190" vm="833">
        <f ca="1"/>
        <v>85.75</v>
      </c>
      <c r="C190" vm="834">
        <f ca="1"/>
        <v>86.4</v>
      </c>
      <c r="D190" vm="583">
        <f ca="1"/>
        <v>84.12</v>
      </c>
      <c r="E190" vm="765">
        <f ca="1"/>
        <v>85.58</v>
      </c>
    </row>
    <row r="191" spans="1:5" x14ac:dyDescent="0.3">
      <c r="A191" vm="835">
        <f ca="1"/>
        <v>44972</v>
      </c>
      <c r="B191" vm="836">
        <f ca="1"/>
        <v>85.29</v>
      </c>
      <c r="C191" vm="837">
        <f ca="1"/>
        <v>85.85</v>
      </c>
      <c r="D191" vm="838">
        <f ca="1"/>
        <v>83.9</v>
      </c>
      <c r="E191" vm="839">
        <f ca="1"/>
        <v>85.38</v>
      </c>
    </row>
    <row r="192" spans="1:5" x14ac:dyDescent="0.3">
      <c r="A192" vm="840">
        <f ca="1"/>
        <v>44973</v>
      </c>
      <c r="B192" vm="841">
        <f ca="1"/>
        <v>85.14</v>
      </c>
      <c r="C192" vm="799">
        <f ca="1"/>
        <v>86.2</v>
      </c>
      <c r="D192" vm="692">
        <f ca="1"/>
        <v>84.6</v>
      </c>
      <c r="E192" vm="841">
        <f ca="1"/>
        <v>85.14</v>
      </c>
    </row>
    <row r="193" spans="1:5" x14ac:dyDescent="0.3">
      <c r="A193" vm="842">
        <f ca="1"/>
        <v>44974</v>
      </c>
      <c r="B193" vm="843">
        <f ca="1"/>
        <v>84.67</v>
      </c>
      <c r="C193" vm="844">
        <f ca="1"/>
        <v>84.85</v>
      </c>
      <c r="D193" vm="845">
        <f ca="1"/>
        <v>81.790000000000006</v>
      </c>
      <c r="E193" vm="846">
        <f ca="1"/>
        <v>83</v>
      </c>
    </row>
    <row r="194" spans="1:5" x14ac:dyDescent="0.3">
      <c r="A194" vm="847">
        <f ca="1"/>
        <v>44977</v>
      </c>
      <c r="B194" t="e" vm="12">
        <f ca="1"/>
        <v>#N/A</v>
      </c>
      <c r="C194" t="e" vm="12">
        <f ca="1"/>
        <v>#N/A</v>
      </c>
      <c r="D194" t="e" vm="12">
        <f ca="1"/>
        <v>#N/A</v>
      </c>
      <c r="E194" t="e" vm="12">
        <f ca="1"/>
        <v>#N/A</v>
      </c>
    </row>
    <row r="195" spans="1:5" x14ac:dyDescent="0.3">
      <c r="A195" vm="848">
        <f ca="1"/>
        <v>44978</v>
      </c>
      <c r="B195" vm="849">
        <f ca="1"/>
        <v>83.01</v>
      </c>
      <c r="C195" vm="850">
        <f ca="1"/>
        <v>84.29</v>
      </c>
      <c r="D195" vm="617">
        <f ca="1"/>
        <v>82.54</v>
      </c>
      <c r="E195" vm="851">
        <f ca="1"/>
        <v>83.05</v>
      </c>
    </row>
    <row r="196" spans="1:5" x14ac:dyDescent="0.3">
      <c r="A196" vm="852">
        <f ca="1"/>
        <v>44979</v>
      </c>
      <c r="B196" vm="853">
        <f ca="1"/>
        <v>82.74</v>
      </c>
      <c r="C196" vm="854">
        <f ca="1"/>
        <v>83.23</v>
      </c>
      <c r="D196" vm="855">
        <f ca="1"/>
        <v>80.400000000000006</v>
      </c>
      <c r="E196" vm="856">
        <f ca="1"/>
        <v>80.599999999999994</v>
      </c>
    </row>
    <row r="197" spans="1:5" x14ac:dyDescent="0.3">
      <c r="A197" vm="857">
        <f ca="1"/>
        <v>44980</v>
      </c>
      <c r="B197" vm="858">
        <f ca="1"/>
        <v>80.47</v>
      </c>
      <c r="C197" vm="859">
        <f ca="1"/>
        <v>82.75</v>
      </c>
      <c r="D197" vm="650">
        <f ca="1"/>
        <v>80.34</v>
      </c>
      <c r="E197" vm="860">
        <f ca="1"/>
        <v>82.21</v>
      </c>
    </row>
    <row r="198" spans="1:5" x14ac:dyDescent="0.3">
      <c r="A198" vm="861">
        <f ca="1"/>
        <v>44981</v>
      </c>
      <c r="B198" vm="862">
        <f ca="1"/>
        <v>82.35</v>
      </c>
      <c r="C198" vm="863">
        <f ca="1"/>
        <v>83.38</v>
      </c>
      <c r="D198" vm="864">
        <f ca="1"/>
        <v>81.069999999999993</v>
      </c>
      <c r="E198" vm="865">
        <f ca="1"/>
        <v>83.16</v>
      </c>
    </row>
    <row r="199" spans="1:5" x14ac:dyDescent="0.3">
      <c r="A199" vm="866">
        <f ca="1"/>
        <v>44984</v>
      </c>
      <c r="B199" vm="867">
        <f ca="1"/>
        <v>83.12</v>
      </c>
      <c r="C199" vm="403">
        <f ca="1"/>
        <v>83.63</v>
      </c>
      <c r="D199" vm="868">
        <f ca="1"/>
        <v>81.739999999999995</v>
      </c>
      <c r="E199" vm="869">
        <f ca="1"/>
        <v>82.45</v>
      </c>
    </row>
    <row r="200" spans="1:5" x14ac:dyDescent="0.3">
      <c r="A200" vm="870">
        <f ca="1"/>
        <v>44985</v>
      </c>
      <c r="B200" vm="871">
        <f ca="1"/>
        <v>82.64</v>
      </c>
      <c r="C200" vm="583">
        <f ca="1"/>
        <v>84.12</v>
      </c>
      <c r="D200" vm="872">
        <f ca="1"/>
        <v>82.61</v>
      </c>
      <c r="E200" vm="873">
        <f ca="1"/>
        <v>83.89</v>
      </c>
    </row>
    <row r="201" spans="1:5" x14ac:dyDescent="0.3">
      <c r="A201" vm="874">
        <f ca="1"/>
        <v>44986</v>
      </c>
      <c r="B201" vm="875">
        <f ca="1"/>
        <v>83.1</v>
      </c>
      <c r="C201" vm="797">
        <f ca="1"/>
        <v>84.49</v>
      </c>
      <c r="D201" vm="872">
        <f ca="1"/>
        <v>82.61</v>
      </c>
      <c r="E201" vm="876">
        <f ca="1"/>
        <v>84.31</v>
      </c>
    </row>
    <row r="202" spans="1:5" x14ac:dyDescent="0.3">
      <c r="A202" vm="877">
        <f ca="1"/>
        <v>44987</v>
      </c>
      <c r="B202" vm="876">
        <f ca="1"/>
        <v>84.31</v>
      </c>
      <c r="C202" vm="818">
        <f ca="1"/>
        <v>85.09</v>
      </c>
      <c r="D202" vm="878">
        <f ca="1"/>
        <v>83.84</v>
      </c>
      <c r="E202" vm="792">
        <f ca="1"/>
        <v>84.75</v>
      </c>
    </row>
    <row r="203" spans="1:5" x14ac:dyDescent="0.3">
      <c r="A203" vm="879">
        <f ca="1"/>
        <v>44988</v>
      </c>
      <c r="B203" vm="880">
        <f ca="1"/>
        <v>84.41</v>
      </c>
      <c r="C203" vm="597">
        <f ca="1"/>
        <v>86</v>
      </c>
      <c r="D203" vm="881">
        <f ca="1"/>
        <v>82.36</v>
      </c>
      <c r="E203" vm="410">
        <f ca="1"/>
        <v>85.83</v>
      </c>
    </row>
    <row r="204" spans="1:5" x14ac:dyDescent="0.3">
      <c r="A204" vm="882">
        <f ca="1"/>
        <v>44991</v>
      </c>
      <c r="B204" vm="883">
        <f ca="1"/>
        <v>85.93</v>
      </c>
      <c r="C204" vm="763">
        <f ca="1"/>
        <v>86.36</v>
      </c>
      <c r="D204" vm="884">
        <f ca="1"/>
        <v>84.35</v>
      </c>
      <c r="E204" vm="885">
        <f ca="1"/>
        <v>86.18</v>
      </c>
    </row>
    <row r="205" spans="1:5" x14ac:dyDescent="0.3">
      <c r="A205" vm="886">
        <f ca="1"/>
        <v>44992</v>
      </c>
      <c r="B205" vm="887">
        <f ca="1"/>
        <v>86.23</v>
      </c>
      <c r="C205" vm="888">
        <f ca="1"/>
        <v>86.76</v>
      </c>
      <c r="D205" vm="889">
        <f ca="1"/>
        <v>82.65</v>
      </c>
      <c r="E205" vm="890">
        <f ca="1"/>
        <v>83.29</v>
      </c>
    </row>
    <row r="206" spans="1:5" x14ac:dyDescent="0.3">
      <c r="A206" vm="891">
        <f ca="1"/>
        <v>44993</v>
      </c>
      <c r="B206" vm="892">
        <f ca="1"/>
        <v>82.98</v>
      </c>
      <c r="C206" vm="893">
        <f ca="1"/>
        <v>83.59</v>
      </c>
      <c r="D206" vm="894">
        <f ca="1"/>
        <v>82.05</v>
      </c>
      <c r="E206" vm="895">
        <f ca="1"/>
        <v>82.66</v>
      </c>
    </row>
    <row r="207" spans="1:5" x14ac:dyDescent="0.3">
      <c r="A207" vm="896">
        <f ca="1"/>
        <v>44994</v>
      </c>
      <c r="B207" vm="897">
        <f ca="1"/>
        <v>82.62</v>
      </c>
      <c r="C207" vm="898">
        <f ca="1"/>
        <v>84.01</v>
      </c>
      <c r="D207" vm="899">
        <f ca="1"/>
        <v>81.41</v>
      </c>
      <c r="E207" vm="900">
        <f ca="1"/>
        <v>81.59</v>
      </c>
    </row>
    <row r="208" spans="1:5" x14ac:dyDescent="0.3">
      <c r="A208" vm="901">
        <f ca="1"/>
        <v>44995</v>
      </c>
      <c r="B208" vm="902">
        <f ca="1"/>
        <v>81.47</v>
      </c>
      <c r="C208" vm="903">
        <f ca="1"/>
        <v>83.08</v>
      </c>
      <c r="D208" vm="904">
        <f ca="1"/>
        <v>80.73</v>
      </c>
      <c r="E208" vm="905">
        <f ca="1"/>
        <v>82.78</v>
      </c>
    </row>
    <row r="209" spans="1:5" x14ac:dyDescent="0.3">
      <c r="A209" vm="906">
        <f ca="1"/>
        <v>44998</v>
      </c>
      <c r="B209" vm="617">
        <f ca="1"/>
        <v>82.54</v>
      </c>
      <c r="C209" vm="907">
        <f ca="1"/>
        <v>83.47</v>
      </c>
      <c r="D209" vm="729">
        <f ca="1"/>
        <v>78.34</v>
      </c>
      <c r="E209" vm="908">
        <f ca="1"/>
        <v>80.77</v>
      </c>
    </row>
    <row r="210" spans="1:5" x14ac:dyDescent="0.3">
      <c r="A210" vm="909">
        <f ca="1"/>
        <v>44999</v>
      </c>
      <c r="B210" vm="910">
        <f ca="1"/>
        <v>80.69</v>
      </c>
      <c r="C210" vm="733">
        <f ca="1"/>
        <v>80.88</v>
      </c>
      <c r="D210" vm="911">
        <f ca="1"/>
        <v>76.88</v>
      </c>
      <c r="E210" vm="912">
        <f ca="1"/>
        <v>77.45</v>
      </c>
    </row>
    <row r="211" spans="1:5" x14ac:dyDescent="0.3">
      <c r="A211" vm="913">
        <f ca="1"/>
        <v>45000</v>
      </c>
      <c r="B211" vm="914">
        <f ca="1"/>
        <v>77.569999999999993</v>
      </c>
      <c r="C211" vm="622">
        <f ca="1"/>
        <v>78.709999999999994</v>
      </c>
      <c r="D211" vm="915">
        <f ca="1"/>
        <v>71.63</v>
      </c>
      <c r="E211" vm="916">
        <f ca="1"/>
        <v>73.69</v>
      </c>
    </row>
    <row r="212" spans="1:5" x14ac:dyDescent="0.3">
      <c r="A212" vm="917">
        <f ca="1"/>
        <v>45001</v>
      </c>
      <c r="B212" vm="918">
        <f ca="1"/>
        <v>74.349999999999994</v>
      </c>
      <c r="C212" vm="919">
        <f ca="1"/>
        <v>75.52</v>
      </c>
      <c r="D212" vm="920">
        <f ca="1"/>
        <v>71.86</v>
      </c>
      <c r="E212" vm="921">
        <f ca="1"/>
        <v>74.7</v>
      </c>
    </row>
    <row r="213" spans="1:5" x14ac:dyDescent="0.3">
      <c r="A213" vm="922">
        <f ca="1"/>
        <v>45002</v>
      </c>
      <c r="B213" vm="923">
        <f ca="1"/>
        <v>74.55</v>
      </c>
      <c r="C213" vm="924">
        <f ca="1"/>
        <v>75.900000000000006</v>
      </c>
      <c r="D213" vm="925">
        <f ca="1"/>
        <v>71.349999999999994</v>
      </c>
      <c r="E213" vm="926">
        <f ca="1"/>
        <v>72.97</v>
      </c>
    </row>
    <row r="214" spans="1:5" x14ac:dyDescent="0.3">
      <c r="A214" vm="927">
        <f ca="1"/>
        <v>45005</v>
      </c>
      <c r="B214" vm="928">
        <f ca="1"/>
        <v>72.89</v>
      </c>
      <c r="C214" vm="929">
        <f ca="1"/>
        <v>73.849999999999994</v>
      </c>
      <c r="D214" vm="930">
        <f ca="1"/>
        <v>70.13</v>
      </c>
      <c r="E214" vm="931">
        <f ca="1"/>
        <v>73.790000000000006</v>
      </c>
    </row>
    <row r="215" spans="1:5" x14ac:dyDescent="0.3">
      <c r="A215" vm="932">
        <f ca="1"/>
        <v>45006</v>
      </c>
      <c r="B215" vm="933">
        <f ca="1"/>
        <v>73.739999999999995</v>
      </c>
      <c r="C215" vm="934">
        <f ca="1"/>
        <v>75.400000000000006</v>
      </c>
      <c r="D215" vm="935">
        <f ca="1"/>
        <v>72.81</v>
      </c>
      <c r="E215" vm="936">
        <f ca="1"/>
        <v>75.319999999999993</v>
      </c>
    </row>
    <row r="216" spans="1:5" x14ac:dyDescent="0.3">
      <c r="A216" vm="937">
        <f ca="1"/>
        <v>45007</v>
      </c>
      <c r="B216" vm="938">
        <f ca="1"/>
        <v>75.09</v>
      </c>
      <c r="C216" vm="939">
        <f ca="1"/>
        <v>77.09</v>
      </c>
      <c r="D216" vm="940">
        <f ca="1"/>
        <v>74.52</v>
      </c>
      <c r="E216" vm="941">
        <f ca="1"/>
        <v>76.69</v>
      </c>
    </row>
    <row r="217" spans="1:5" x14ac:dyDescent="0.3">
      <c r="A217" vm="942">
        <f ca="1"/>
        <v>45008</v>
      </c>
      <c r="B217" vm="943">
        <f ca="1"/>
        <v>75.739999999999995</v>
      </c>
      <c r="C217" vm="944">
        <f ca="1"/>
        <v>77.430000000000007</v>
      </c>
      <c r="D217" vm="945">
        <f ca="1"/>
        <v>75.12</v>
      </c>
      <c r="E217" vm="946">
        <f ca="1"/>
        <v>75.91</v>
      </c>
    </row>
    <row r="218" spans="1:5" x14ac:dyDescent="0.3">
      <c r="A218" vm="947">
        <f ca="1"/>
        <v>45009</v>
      </c>
      <c r="B218" vm="948">
        <f ca="1"/>
        <v>75.42</v>
      </c>
      <c r="C218" vm="949">
        <f ca="1"/>
        <v>76.28</v>
      </c>
      <c r="D218" vm="950">
        <f ca="1"/>
        <v>72.69</v>
      </c>
      <c r="E218" vm="951">
        <f ca="1"/>
        <v>74.989999999999995</v>
      </c>
    </row>
    <row r="219" spans="1:5" x14ac:dyDescent="0.3">
      <c r="A219" vm="952">
        <f ca="1"/>
        <v>45012</v>
      </c>
      <c r="B219" vm="953">
        <f ca="1"/>
        <v>75.239999999999995</v>
      </c>
      <c r="C219" vm="954">
        <f ca="1"/>
        <v>78.430000000000007</v>
      </c>
      <c r="D219" vm="955">
        <f ca="1"/>
        <v>74.8</v>
      </c>
      <c r="E219" vm="956">
        <f ca="1"/>
        <v>78.12</v>
      </c>
    </row>
    <row r="220" spans="1:5" x14ac:dyDescent="0.3">
      <c r="A220" vm="957">
        <f ca="1"/>
        <v>45013</v>
      </c>
      <c r="B220" vm="958">
        <f ca="1"/>
        <v>78.180000000000007</v>
      </c>
      <c r="C220" vm="959">
        <f ca="1"/>
        <v>79.209999999999994</v>
      </c>
      <c r="D220" vm="960">
        <f ca="1"/>
        <v>77.55</v>
      </c>
      <c r="E220" vm="961">
        <f ca="1"/>
        <v>78.650000000000006</v>
      </c>
    </row>
    <row r="221" spans="1:5" x14ac:dyDescent="0.3">
      <c r="A221" vm="962">
        <f ca="1"/>
        <v>45014</v>
      </c>
      <c r="B221" vm="963">
        <f ca="1"/>
        <v>79.02</v>
      </c>
      <c r="C221" vm="964">
        <f ca="1"/>
        <v>79.7</v>
      </c>
      <c r="D221" vm="965">
        <f ca="1"/>
        <v>77.95</v>
      </c>
      <c r="E221" vm="661">
        <f ca="1"/>
        <v>78.28</v>
      </c>
    </row>
    <row r="222" spans="1:5" x14ac:dyDescent="0.3">
      <c r="A222" vm="966">
        <f ca="1"/>
        <v>45015</v>
      </c>
      <c r="B222" vm="967">
        <f ca="1"/>
        <v>78.22</v>
      </c>
      <c r="C222" vm="968">
        <f ca="1"/>
        <v>79.55</v>
      </c>
      <c r="D222" vm="969">
        <f ca="1"/>
        <v>77.849999999999994</v>
      </c>
      <c r="E222" vm="970">
        <f ca="1"/>
        <v>79.27</v>
      </c>
    </row>
    <row r="223" spans="1:5" x14ac:dyDescent="0.3">
      <c r="A223" vm="971">
        <f ca="1"/>
        <v>45016</v>
      </c>
      <c r="B223" vm="972">
        <f ca="1"/>
        <v>79.28</v>
      </c>
      <c r="C223" vm="973">
        <f ca="1"/>
        <v>79.77</v>
      </c>
      <c r="D223" vm="974">
        <f ca="1"/>
        <v>79.069999999999993</v>
      </c>
      <c r="E223" vm="973">
        <f ca="1"/>
        <v>79.77</v>
      </c>
    </row>
    <row r="224" spans="1:5" x14ac:dyDescent="0.3">
      <c r="A224" vm="975">
        <f ca="1"/>
        <v>45019</v>
      </c>
      <c r="B224" vm="890">
        <f ca="1"/>
        <v>83.29</v>
      </c>
      <c r="C224" vm="976">
        <f ca="1"/>
        <v>86.24</v>
      </c>
      <c r="D224" vm="890">
        <f ca="1"/>
        <v>83.29</v>
      </c>
      <c r="E224" vm="977">
        <f ca="1"/>
        <v>84.93</v>
      </c>
    </row>
    <row r="225" spans="1:5" x14ac:dyDescent="0.3">
      <c r="A225" vm="978">
        <f ca="1"/>
        <v>45020</v>
      </c>
      <c r="B225" vm="979">
        <f ca="1"/>
        <v>84.78</v>
      </c>
      <c r="C225" vm="980">
        <f ca="1"/>
        <v>86.05</v>
      </c>
      <c r="D225" vm="981">
        <f ca="1"/>
        <v>83.87</v>
      </c>
      <c r="E225" vm="587">
        <f ca="1"/>
        <v>84.94</v>
      </c>
    </row>
    <row r="226" spans="1:5" x14ac:dyDescent="0.3">
      <c r="A226" vm="982">
        <f ca="1"/>
        <v>45021</v>
      </c>
      <c r="B226" vm="983">
        <f ca="1"/>
        <v>85.1</v>
      </c>
      <c r="C226" vm="984">
        <f ca="1"/>
        <v>85.55</v>
      </c>
      <c r="D226" vm="898">
        <f ca="1"/>
        <v>84.01</v>
      </c>
      <c r="E226" vm="985">
        <f ca="1"/>
        <v>84.99</v>
      </c>
    </row>
    <row r="227" spans="1:5" x14ac:dyDescent="0.3">
      <c r="A227" vm="986">
        <f ca="1"/>
        <v>45022</v>
      </c>
      <c r="B227" vm="987">
        <f ca="1"/>
        <v>84.83</v>
      </c>
      <c r="C227" vm="750">
        <f ca="1"/>
        <v>85.44</v>
      </c>
      <c r="D227" vm="592">
        <f ca="1"/>
        <v>84.05</v>
      </c>
      <c r="E227" vm="988">
        <f ca="1"/>
        <v>85.12</v>
      </c>
    </row>
    <row r="228" spans="1:5" x14ac:dyDescent="0.3">
      <c r="A228" vm="989">
        <f ca="1"/>
        <v>45023</v>
      </c>
      <c r="B228" t="e" vm="12">
        <f ca="1"/>
        <v>#N/A</v>
      </c>
      <c r="C228" t="e" vm="12">
        <f ca="1"/>
        <v>#N/A</v>
      </c>
      <c r="D228" t="e" vm="12">
        <f ca="1"/>
        <v>#N/A</v>
      </c>
      <c r="E228" t="e" vm="12">
        <f ca="1"/>
        <v>#N/A</v>
      </c>
    </row>
    <row r="229" spans="1:5" x14ac:dyDescent="0.3">
      <c r="A229" vm="990">
        <f ca="1"/>
        <v>45026</v>
      </c>
      <c r="B229" vm="991">
        <f ca="1"/>
        <v>84.95</v>
      </c>
      <c r="C229" vm="992">
        <f ca="1"/>
        <v>85.64</v>
      </c>
      <c r="D229" vm="993">
        <f ca="1"/>
        <v>84.08</v>
      </c>
      <c r="E229" vm="994">
        <f ca="1"/>
        <v>84.18</v>
      </c>
    </row>
    <row r="230" spans="1:5" x14ac:dyDescent="0.3">
      <c r="A230" vm="995">
        <f ca="1"/>
        <v>45027</v>
      </c>
      <c r="B230" vm="996">
        <f ca="1"/>
        <v>84.28</v>
      </c>
      <c r="C230" vm="788">
        <f ca="1"/>
        <v>85.68</v>
      </c>
      <c r="D230" vm="997">
        <f ca="1"/>
        <v>83.75</v>
      </c>
      <c r="E230" vm="998">
        <f ca="1"/>
        <v>85.61</v>
      </c>
    </row>
    <row r="231" spans="1:5" x14ac:dyDescent="0.3">
      <c r="A231" vm="999">
        <f ca="1"/>
        <v>45028</v>
      </c>
      <c r="B231" vm="984">
        <f ca="1"/>
        <v>85.55</v>
      </c>
      <c r="C231" vm="1000">
        <f ca="1"/>
        <v>87.49</v>
      </c>
      <c r="D231" vm="584">
        <f ca="1"/>
        <v>85.41</v>
      </c>
      <c r="E231" vm="1001">
        <f ca="1"/>
        <v>87.33</v>
      </c>
    </row>
    <row r="232" spans="1:5" x14ac:dyDescent="0.3">
      <c r="A232" vm="1002">
        <f ca="1"/>
        <v>45029</v>
      </c>
      <c r="B232" vm="1003">
        <f ca="1"/>
        <v>87.15</v>
      </c>
      <c r="C232" vm="784">
        <f ca="1"/>
        <v>87.47</v>
      </c>
      <c r="D232" vm="1004">
        <f ca="1"/>
        <v>86.06</v>
      </c>
      <c r="E232" vm="1005">
        <f ca="1"/>
        <v>86.09</v>
      </c>
    </row>
    <row r="233" spans="1:5" x14ac:dyDescent="0.3">
      <c r="A233" vm="1006">
        <f ca="1"/>
        <v>45030</v>
      </c>
      <c r="B233" vm="1007">
        <f ca="1"/>
        <v>86.34</v>
      </c>
      <c r="C233" vm="1008">
        <f ca="1"/>
        <v>86.86</v>
      </c>
      <c r="D233" vm="1009">
        <f ca="1"/>
        <v>85.54</v>
      </c>
      <c r="E233" vm="1010">
        <f ca="1"/>
        <v>86.31</v>
      </c>
    </row>
    <row r="234" spans="1:5" x14ac:dyDescent="0.3">
      <c r="A234" vm="1011">
        <f ca="1"/>
        <v>45033</v>
      </c>
      <c r="B234" vm="408">
        <f ca="1"/>
        <v>86.27</v>
      </c>
      <c r="C234" vm="425">
        <f ca="1"/>
        <v>86.51</v>
      </c>
      <c r="D234" vm="884">
        <f ca="1"/>
        <v>84.35</v>
      </c>
      <c r="E234" vm="1012">
        <f ca="1"/>
        <v>84.76</v>
      </c>
    </row>
    <row r="235" spans="1:5" x14ac:dyDescent="0.3">
      <c r="A235" vm="1013">
        <f ca="1"/>
        <v>45034</v>
      </c>
      <c r="B235" vm="1014">
        <f ca="1"/>
        <v>84.82</v>
      </c>
      <c r="C235" vm="1015">
        <f ca="1"/>
        <v>85.4</v>
      </c>
      <c r="D235" vm="1016">
        <f ca="1"/>
        <v>83.82</v>
      </c>
      <c r="E235" vm="1017">
        <f ca="1"/>
        <v>84.77</v>
      </c>
    </row>
    <row r="236" spans="1:5" x14ac:dyDescent="0.3">
      <c r="A236" vm="1018">
        <f ca="1"/>
        <v>45035</v>
      </c>
      <c r="B236" vm="1019">
        <f ca="1"/>
        <v>84.86</v>
      </c>
      <c r="C236" vm="1020">
        <f ca="1"/>
        <v>85.15</v>
      </c>
      <c r="D236" vm="1021">
        <f ca="1"/>
        <v>82.41</v>
      </c>
      <c r="E236" vm="867">
        <f ca="1"/>
        <v>83.12</v>
      </c>
    </row>
    <row r="237" spans="1:5" x14ac:dyDescent="0.3">
      <c r="A237" vm="1022">
        <f ca="1"/>
        <v>45036</v>
      </c>
      <c r="B237" vm="846">
        <f ca="1"/>
        <v>83</v>
      </c>
      <c r="C237" vm="1023">
        <f ca="1"/>
        <v>83.04</v>
      </c>
      <c r="D237" vm="908">
        <f ca="1"/>
        <v>80.77</v>
      </c>
      <c r="E237" vm="1024">
        <f ca="1"/>
        <v>81.099999999999994</v>
      </c>
    </row>
    <row r="238" spans="1:5" x14ac:dyDescent="0.3">
      <c r="A238" vm="1025">
        <f ca="1"/>
        <v>45037</v>
      </c>
      <c r="B238" vm="656">
        <f ca="1"/>
        <v>80.83</v>
      </c>
      <c r="C238" vm="1026">
        <f ca="1"/>
        <v>82.04</v>
      </c>
      <c r="D238" vm="1027">
        <f ca="1"/>
        <v>80.45</v>
      </c>
      <c r="E238" vm="1028">
        <f ca="1"/>
        <v>81.66</v>
      </c>
    </row>
    <row r="239" spans="1:5" x14ac:dyDescent="0.3">
      <c r="A239" vm="1029">
        <f ca="1"/>
        <v>45040</v>
      </c>
      <c r="B239" vm="1030">
        <f ca="1"/>
        <v>81.599999999999994</v>
      </c>
      <c r="C239" vm="1031">
        <f ca="1"/>
        <v>82.99</v>
      </c>
      <c r="D239" vm="1032">
        <f ca="1"/>
        <v>80.489999999999995</v>
      </c>
      <c r="E239" vm="1033">
        <f ca="1"/>
        <v>82.73</v>
      </c>
    </row>
    <row r="240" spans="1:5" x14ac:dyDescent="0.3">
      <c r="A240" vm="1034">
        <f ca="1"/>
        <v>45041</v>
      </c>
      <c r="B240" vm="1035">
        <f ca="1"/>
        <v>82.58</v>
      </c>
      <c r="C240" vm="851">
        <f ca="1"/>
        <v>83.05</v>
      </c>
      <c r="D240" vm="1036">
        <f ca="1"/>
        <v>80.349999999999994</v>
      </c>
      <c r="E240" vm="908">
        <f ca="1"/>
        <v>80.77</v>
      </c>
    </row>
    <row r="241" spans="1:5" x14ac:dyDescent="0.3">
      <c r="A241" vm="1037">
        <f ca="1"/>
        <v>45042</v>
      </c>
      <c r="B241" vm="1038">
        <f ca="1"/>
        <v>81</v>
      </c>
      <c r="C241" vm="902">
        <f ca="1"/>
        <v>81.47</v>
      </c>
      <c r="D241" vm="1039">
        <f ca="1"/>
        <v>77.48</v>
      </c>
      <c r="E241" vm="1040">
        <f ca="1"/>
        <v>77.69</v>
      </c>
    </row>
    <row r="242" spans="1:5" x14ac:dyDescent="0.3">
      <c r="A242" vm="1041">
        <f ca="1"/>
        <v>45043</v>
      </c>
      <c r="B242" vm="1042">
        <f ca="1"/>
        <v>77.87</v>
      </c>
      <c r="C242" vm="666">
        <f ca="1"/>
        <v>78.63</v>
      </c>
      <c r="D242" vm="1043">
        <f ca="1"/>
        <v>77.39</v>
      </c>
      <c r="E242" vm="1044">
        <f ca="1"/>
        <v>78.37</v>
      </c>
    </row>
    <row r="243" spans="1:5" x14ac:dyDescent="0.3">
      <c r="A243" vm="1045">
        <f ca="1"/>
        <v>45044</v>
      </c>
      <c r="B243" vm="1046">
        <f ca="1"/>
        <v>78.31</v>
      </c>
      <c r="C243" vm="675">
        <f ca="1"/>
        <v>79.599999999999994</v>
      </c>
      <c r="D243" vm="1047">
        <f ca="1"/>
        <v>77.97</v>
      </c>
      <c r="E243" vm="1048">
        <f ca="1"/>
        <v>79.540000000000006</v>
      </c>
    </row>
    <row r="244" spans="1:5" x14ac:dyDescent="0.3">
      <c r="A244" vm="1049">
        <f ca="1"/>
        <v>45047</v>
      </c>
      <c r="B244" vm="1050">
        <f ca="1"/>
        <v>80.180000000000007</v>
      </c>
      <c r="C244" vm="1051">
        <f ca="1"/>
        <v>80.19</v>
      </c>
      <c r="D244" vm="1052">
        <f ca="1"/>
        <v>78.13</v>
      </c>
      <c r="E244" vm="1053">
        <f ca="1"/>
        <v>79.31</v>
      </c>
    </row>
    <row r="245" spans="1:5" x14ac:dyDescent="0.3">
      <c r="A245" vm="1054">
        <f ca="1"/>
        <v>45048</v>
      </c>
      <c r="B245" vm="1055">
        <f ca="1"/>
        <v>79.260000000000005</v>
      </c>
      <c r="C245" vm="1056">
        <f ca="1"/>
        <v>79.78</v>
      </c>
      <c r="D245" vm="938">
        <f ca="1"/>
        <v>75.09</v>
      </c>
      <c r="E245" vm="936">
        <f ca="1"/>
        <v>75.319999999999993</v>
      </c>
    </row>
    <row r="246" spans="1:5" x14ac:dyDescent="0.3">
      <c r="A246" vm="1057">
        <f ca="1"/>
        <v>45049</v>
      </c>
      <c r="B246" vm="1058">
        <f ca="1"/>
        <v>75.27</v>
      </c>
      <c r="C246" vm="1059">
        <f ca="1"/>
        <v>75.55</v>
      </c>
      <c r="D246" vm="1060">
        <f ca="1"/>
        <v>71.680000000000007</v>
      </c>
      <c r="E246" vm="1061">
        <f ca="1"/>
        <v>72.33</v>
      </c>
    </row>
    <row r="247" spans="1:5" x14ac:dyDescent="0.3">
      <c r="A247" vm="1062">
        <f ca="1"/>
        <v>45050</v>
      </c>
      <c r="B247" vm="1063">
        <f ca="1"/>
        <v>71.89</v>
      </c>
      <c r="C247" vm="1064">
        <f ca="1"/>
        <v>73.73</v>
      </c>
      <c r="D247" vm="1065">
        <f ca="1"/>
        <v>68.2</v>
      </c>
      <c r="E247" vm="1066">
        <f ca="1"/>
        <v>72.5</v>
      </c>
    </row>
    <row r="248" spans="1:5" x14ac:dyDescent="0.3">
      <c r="A248" vm="1067">
        <f ca="1"/>
        <v>45051</v>
      </c>
      <c r="B248" vm="1068">
        <f ca="1"/>
        <v>72.650000000000006</v>
      </c>
      <c r="C248" vm="1069">
        <f ca="1"/>
        <v>75.73</v>
      </c>
      <c r="D248" vm="1070">
        <f ca="1"/>
        <v>72.41</v>
      </c>
      <c r="E248" vm="1071">
        <f ca="1"/>
        <v>75.3</v>
      </c>
    </row>
    <row r="249" spans="1:5" x14ac:dyDescent="0.3">
      <c r="A249" vm="1072">
        <f ca="1"/>
        <v>45054</v>
      </c>
      <c r="B249" vm="1073">
        <f ca="1"/>
        <v>75.41</v>
      </c>
      <c r="C249" vm="1074">
        <f ca="1"/>
        <v>77.42</v>
      </c>
      <c r="D249" vm="1075">
        <f ca="1"/>
        <v>74.959999999999994</v>
      </c>
      <c r="E249" vm="1076">
        <f ca="1"/>
        <v>77.010000000000005</v>
      </c>
    </row>
    <row r="250" spans="1:5" x14ac:dyDescent="0.3">
      <c r="A250" vm="1077">
        <f ca="1"/>
        <v>45055</v>
      </c>
      <c r="B250" vm="1078">
        <f ca="1"/>
        <v>76.849999999999994</v>
      </c>
      <c r="C250" vm="630">
        <f ca="1"/>
        <v>77.489999999999995</v>
      </c>
      <c r="D250" vm="1079">
        <f ca="1"/>
        <v>75.069999999999993</v>
      </c>
      <c r="E250" vm="1080">
        <f ca="1"/>
        <v>77.44</v>
      </c>
    </row>
    <row r="251" spans="1:5" x14ac:dyDescent="0.3">
      <c r="A251" vm="1081">
        <f ca="1"/>
        <v>45056</v>
      </c>
      <c r="B251" vm="1082">
        <f ca="1"/>
        <v>77.25</v>
      </c>
      <c r="C251" vm="1083">
        <f ca="1"/>
        <v>77.599999999999994</v>
      </c>
      <c r="D251" vm="1084">
        <f ca="1"/>
        <v>75.680000000000007</v>
      </c>
      <c r="E251" vm="1085">
        <f ca="1"/>
        <v>76.41</v>
      </c>
    </row>
    <row r="252" spans="1:5" x14ac:dyDescent="0.3">
      <c r="A252" vm="1086">
        <f ca="1"/>
        <v>45057</v>
      </c>
      <c r="B252" vm="1087">
        <f ca="1"/>
        <v>76.64</v>
      </c>
      <c r="C252" vm="1088">
        <f ca="1"/>
        <v>77.400000000000006</v>
      </c>
      <c r="D252" vm="1089">
        <f ca="1"/>
        <v>74.62</v>
      </c>
      <c r="E252" vm="1090">
        <f ca="1"/>
        <v>74.98</v>
      </c>
    </row>
    <row r="253" spans="1:5" x14ac:dyDescent="0.3">
      <c r="A253" vm="1091">
        <f ca="1"/>
        <v>45058</v>
      </c>
      <c r="B253" vm="1092">
        <f ca="1"/>
        <v>75.459999999999994</v>
      </c>
      <c r="C253" vm="1093">
        <f ca="1"/>
        <v>75.84</v>
      </c>
      <c r="D253" vm="1094">
        <f ca="1"/>
        <v>74.03</v>
      </c>
      <c r="E253" vm="1095">
        <f ca="1"/>
        <v>74.17</v>
      </c>
    </row>
    <row r="254" spans="1:5" x14ac:dyDescent="0.3">
      <c r="A254" vm="1096">
        <f ca="1"/>
        <v>45061</v>
      </c>
      <c r="B254" vm="1097">
        <f ca="1"/>
        <v>74.25</v>
      </c>
      <c r="C254" vm="1098">
        <f ca="1"/>
        <v>75.75</v>
      </c>
      <c r="D254" vm="1099">
        <f ca="1"/>
        <v>73.489999999999995</v>
      </c>
      <c r="E254" vm="1100">
        <f ca="1"/>
        <v>75.23</v>
      </c>
    </row>
    <row r="255" spans="1:5" x14ac:dyDescent="0.3">
      <c r="A255" vm="1101">
        <f ca="1"/>
        <v>45062</v>
      </c>
      <c r="B255" vm="1102">
        <f ca="1"/>
        <v>75.45</v>
      </c>
      <c r="C255" vm="1103">
        <f ca="1"/>
        <v>75.95</v>
      </c>
      <c r="D255" vm="1104">
        <f ca="1"/>
        <v>74.5</v>
      </c>
      <c r="E255" vm="1105">
        <f ca="1"/>
        <v>74.91</v>
      </c>
    </row>
    <row r="256" spans="1:5" x14ac:dyDescent="0.3">
      <c r="A256" vm="1106">
        <f ca="1"/>
        <v>45063</v>
      </c>
      <c r="B256" vm="1107">
        <f ca="1"/>
        <v>74.680000000000007</v>
      </c>
      <c r="C256" vm="1108">
        <f ca="1"/>
        <v>77.31</v>
      </c>
      <c r="D256" vm="1109">
        <f ca="1"/>
        <v>74.09</v>
      </c>
      <c r="E256" vm="1110">
        <f ca="1"/>
        <v>76.959999999999994</v>
      </c>
    </row>
    <row r="257" spans="1:5" x14ac:dyDescent="0.3">
      <c r="A257" vm="1111">
        <f ca="1"/>
        <v>45064</v>
      </c>
      <c r="B257" vm="1112">
        <f ca="1"/>
        <v>76.790000000000006</v>
      </c>
      <c r="C257" vm="1113">
        <f ca="1"/>
        <v>76.98</v>
      </c>
      <c r="D257" vm="1114">
        <f ca="1"/>
        <v>75.48</v>
      </c>
      <c r="E257" vm="1115">
        <f ca="1"/>
        <v>75.86</v>
      </c>
    </row>
    <row r="258" spans="1:5" x14ac:dyDescent="0.3">
      <c r="A258" vm="1116">
        <f ca="1"/>
        <v>45065</v>
      </c>
      <c r="B258" vm="924">
        <f ca="1"/>
        <v>75.900000000000006</v>
      </c>
      <c r="C258" vm="1117">
        <f ca="1"/>
        <v>77.5</v>
      </c>
      <c r="D258" vm="1118">
        <f ca="1"/>
        <v>75.099999999999994</v>
      </c>
      <c r="E258" vm="1119">
        <f ca="1"/>
        <v>75.58</v>
      </c>
    </row>
    <row r="259" spans="1:5" x14ac:dyDescent="0.3">
      <c r="A259" vm="1120">
        <f ca="1"/>
        <v>45068</v>
      </c>
      <c r="B259" vm="943">
        <f ca="1"/>
        <v>75.739999999999995</v>
      </c>
      <c r="C259" vm="1121">
        <f ca="1"/>
        <v>76.459999999999994</v>
      </c>
      <c r="D259" vm="923">
        <f ca="1"/>
        <v>74.55</v>
      </c>
      <c r="E259" vm="1122">
        <f ca="1"/>
        <v>75.989999999999995</v>
      </c>
    </row>
    <row r="260" spans="1:5" x14ac:dyDescent="0.3">
      <c r="A260" vm="1123">
        <f ca="1"/>
        <v>45069</v>
      </c>
      <c r="B260" vm="1124">
        <f ca="1"/>
        <v>75.97</v>
      </c>
      <c r="C260" vm="1125">
        <f ca="1"/>
        <v>77.739999999999995</v>
      </c>
      <c r="D260" vm="1126">
        <f ca="1"/>
        <v>75.650000000000006</v>
      </c>
      <c r="E260" vm="1127">
        <f ca="1"/>
        <v>76.84</v>
      </c>
    </row>
    <row r="261" spans="1:5" x14ac:dyDescent="0.3">
      <c r="A261" vm="1128">
        <f ca="1"/>
        <v>45070</v>
      </c>
      <c r="B261" vm="1129">
        <f ca="1"/>
        <v>77.59</v>
      </c>
      <c r="C261" vm="1130">
        <f ca="1"/>
        <v>78.66</v>
      </c>
      <c r="D261" vm="1131">
        <f ca="1"/>
        <v>77.040000000000006</v>
      </c>
      <c r="E261" vm="1132">
        <f ca="1"/>
        <v>78.36</v>
      </c>
    </row>
    <row r="262" spans="1:5" x14ac:dyDescent="0.3">
      <c r="A262" vm="1133">
        <f ca="1"/>
        <v>45071</v>
      </c>
      <c r="B262" vm="1134">
        <f ca="1"/>
        <v>78.260000000000005</v>
      </c>
      <c r="C262" vm="1135">
        <f ca="1"/>
        <v>78.5</v>
      </c>
      <c r="D262" vm="945">
        <f ca="1"/>
        <v>75.12</v>
      </c>
      <c r="E262" vm="1136">
        <f ca="1"/>
        <v>76.260000000000005</v>
      </c>
    </row>
    <row r="263" spans="1:5" x14ac:dyDescent="0.3">
      <c r="A263" vm="1137">
        <f ca="1"/>
        <v>45072</v>
      </c>
      <c r="B263" vm="1138">
        <f ca="1"/>
        <v>76.12</v>
      </c>
      <c r="C263" vm="1139">
        <f ca="1"/>
        <v>77.349999999999994</v>
      </c>
      <c r="D263" vm="1140">
        <f ca="1"/>
        <v>75.72</v>
      </c>
      <c r="E263" vm="1141">
        <f ca="1"/>
        <v>76.95</v>
      </c>
    </row>
    <row r="264" spans="1:5" x14ac:dyDescent="0.3">
      <c r="A264" vm="1142">
        <f ca="1"/>
        <v>45075</v>
      </c>
      <c r="B264" t="e" vm="12">
        <f ca="1"/>
        <v>#N/A</v>
      </c>
      <c r="C264" t="e" vm="12">
        <f ca="1"/>
        <v>#N/A</v>
      </c>
      <c r="D264" t="e" vm="12">
        <f ca="1"/>
        <v>#N/A</v>
      </c>
      <c r="E264" t="e" vm="12">
        <f ca="1"/>
        <v>#N/A</v>
      </c>
    </row>
    <row r="265" spans="1:5" x14ac:dyDescent="0.3">
      <c r="A265" vm="1143">
        <f ca="1"/>
        <v>45076</v>
      </c>
      <c r="B265" vm="1144">
        <f ca="1"/>
        <v>77.37</v>
      </c>
      <c r="C265" vm="1125">
        <f ca="1"/>
        <v>77.739999999999995</v>
      </c>
      <c r="D265" vm="1145">
        <f ca="1"/>
        <v>73.16</v>
      </c>
      <c r="E265" vm="1146">
        <f ca="1"/>
        <v>73.540000000000006</v>
      </c>
    </row>
    <row r="266" spans="1:5" x14ac:dyDescent="0.3">
      <c r="A266" vm="1147">
        <f ca="1"/>
        <v>45077</v>
      </c>
      <c r="B266" vm="1148">
        <f ca="1"/>
        <v>73.650000000000006</v>
      </c>
      <c r="C266" vm="1149">
        <f ca="1"/>
        <v>73.77</v>
      </c>
      <c r="D266" vm="1150">
        <f ca="1"/>
        <v>71.55</v>
      </c>
      <c r="E266" vm="1151">
        <f ca="1"/>
        <v>72.66</v>
      </c>
    </row>
    <row r="267" spans="1:5" x14ac:dyDescent="0.3">
      <c r="A267" vm="1152">
        <f ca="1"/>
        <v>45078</v>
      </c>
      <c r="B267" vm="1153">
        <f ca="1"/>
        <v>72.09</v>
      </c>
      <c r="C267" vm="1154">
        <f ca="1"/>
        <v>75.25</v>
      </c>
      <c r="D267" vm="1155">
        <f ca="1"/>
        <v>72.010000000000005</v>
      </c>
      <c r="E267" vm="1156">
        <f ca="1"/>
        <v>74.28</v>
      </c>
    </row>
    <row r="268" spans="1:5" x14ac:dyDescent="0.3">
      <c r="A268" vm="1157">
        <f ca="1"/>
        <v>45079</v>
      </c>
      <c r="B268" vm="1158">
        <f ca="1"/>
        <v>74.41</v>
      </c>
      <c r="C268" vm="1159">
        <f ca="1"/>
        <v>76.489999999999995</v>
      </c>
      <c r="D268" vm="1160">
        <f ca="1"/>
        <v>74.180000000000007</v>
      </c>
      <c r="E268" vm="1161">
        <f ca="1"/>
        <v>76.13</v>
      </c>
    </row>
    <row r="269" spans="1:5" x14ac:dyDescent="0.3">
      <c r="A269" vm="1162">
        <f ca="1"/>
        <v>45082</v>
      </c>
      <c r="B269" vm="1117">
        <f ca="1"/>
        <v>77.5</v>
      </c>
      <c r="C269" vm="1163">
        <f ca="1"/>
        <v>78.72</v>
      </c>
      <c r="D269" vm="1164">
        <f ca="1"/>
        <v>76.3</v>
      </c>
      <c r="E269" vm="1165">
        <f ca="1"/>
        <v>76.709999999999994</v>
      </c>
    </row>
    <row r="270" spans="1:5" x14ac:dyDescent="0.3">
      <c r="A270" vm="1166">
        <f ca="1"/>
        <v>45083</v>
      </c>
      <c r="B270" vm="1167">
        <f ca="1"/>
        <v>76.47</v>
      </c>
      <c r="C270" vm="1168">
        <f ca="1"/>
        <v>76.760000000000005</v>
      </c>
      <c r="D270" vm="1169">
        <f ca="1"/>
        <v>74.73</v>
      </c>
      <c r="E270" vm="1170">
        <f ca="1"/>
        <v>76.290000000000006</v>
      </c>
    </row>
    <row r="271" spans="1:5" x14ac:dyDescent="0.3">
      <c r="A271" vm="1171">
        <f ca="1"/>
        <v>45084</v>
      </c>
      <c r="B271" vm="1172">
        <f ca="1"/>
        <v>76.069999999999993</v>
      </c>
      <c r="C271" vm="1173">
        <f ca="1"/>
        <v>77.62</v>
      </c>
      <c r="D271" vm="1174">
        <f ca="1"/>
        <v>75.510000000000005</v>
      </c>
      <c r="E271" vm="1141">
        <f ca="1"/>
        <v>76.95</v>
      </c>
    </row>
    <row r="272" spans="1:5" x14ac:dyDescent="0.3">
      <c r="A272" vm="1175">
        <f ca="1"/>
        <v>45085</v>
      </c>
      <c r="B272" vm="1176">
        <f ca="1"/>
        <v>76.8</v>
      </c>
      <c r="C272" vm="1177">
        <f ca="1"/>
        <v>77.66</v>
      </c>
      <c r="D272" vm="1178">
        <f ca="1"/>
        <v>73.569999999999993</v>
      </c>
      <c r="E272" vm="1179">
        <f ca="1"/>
        <v>75.959999999999994</v>
      </c>
    </row>
    <row r="273" spans="1:5" x14ac:dyDescent="0.3">
      <c r="A273" vm="1180">
        <f ca="1"/>
        <v>45086</v>
      </c>
      <c r="B273" vm="1181">
        <f ca="1"/>
        <v>75.53</v>
      </c>
      <c r="C273" vm="1182">
        <f ca="1"/>
        <v>76.55</v>
      </c>
      <c r="D273" vm="1183">
        <f ca="1"/>
        <v>74.72</v>
      </c>
      <c r="E273" vm="1184">
        <f ca="1"/>
        <v>74.790000000000006</v>
      </c>
    </row>
    <row r="274" spans="1:5" x14ac:dyDescent="0.3">
      <c r="A274" vm="1185">
        <f ca="1"/>
        <v>45089</v>
      </c>
      <c r="B274" vm="1186">
        <f ca="1"/>
        <v>74.88</v>
      </c>
      <c r="C274" vm="1186">
        <f ca="1"/>
        <v>74.88</v>
      </c>
      <c r="D274" vm="1187">
        <f ca="1"/>
        <v>71.569999999999993</v>
      </c>
      <c r="E274" vm="1188">
        <f ca="1"/>
        <v>71.84</v>
      </c>
    </row>
    <row r="275" spans="1:5" x14ac:dyDescent="0.3">
      <c r="A275" vm="1189">
        <f ca="1"/>
        <v>45090</v>
      </c>
      <c r="B275" vm="1190">
        <f ca="1"/>
        <v>72</v>
      </c>
      <c r="C275" vm="1191">
        <f ca="1"/>
        <v>74.650000000000006</v>
      </c>
      <c r="D275" vm="1192">
        <f ca="1"/>
        <v>71.95</v>
      </c>
      <c r="E275" vm="1193">
        <f ca="1"/>
        <v>74.290000000000006</v>
      </c>
    </row>
    <row r="276" spans="1:5" x14ac:dyDescent="0.3">
      <c r="A276" vm="1194">
        <f ca="1"/>
        <v>45091</v>
      </c>
      <c r="B276" vm="1195">
        <f ca="1"/>
        <v>74.069999999999993</v>
      </c>
      <c r="C276" vm="1114">
        <f ca="1"/>
        <v>75.48</v>
      </c>
      <c r="D276" vm="1196">
        <f ca="1"/>
        <v>73.03</v>
      </c>
      <c r="E276" vm="1197">
        <f ca="1"/>
        <v>73.2</v>
      </c>
    </row>
    <row r="277" spans="1:5" x14ac:dyDescent="0.3">
      <c r="A277" vm="1198">
        <f ca="1"/>
        <v>45092</v>
      </c>
      <c r="B277" vm="1199">
        <f ca="1"/>
        <v>73.47</v>
      </c>
      <c r="C277" vm="1179">
        <f ca="1"/>
        <v>75.959999999999994</v>
      </c>
      <c r="D277" vm="1200">
        <f ca="1"/>
        <v>72.91</v>
      </c>
      <c r="E277" vm="1201">
        <f ca="1"/>
        <v>75.67</v>
      </c>
    </row>
    <row r="278" spans="1:5" x14ac:dyDescent="0.3">
      <c r="A278" vm="1202">
        <f ca="1"/>
        <v>45093</v>
      </c>
      <c r="B278" vm="1119">
        <f ca="1"/>
        <v>75.58</v>
      </c>
      <c r="C278" vm="1203">
        <f ca="1"/>
        <v>76.739999999999995</v>
      </c>
      <c r="D278" vm="1204">
        <f ca="1"/>
        <v>75.08</v>
      </c>
      <c r="E278" vm="1205">
        <f ca="1"/>
        <v>76.61</v>
      </c>
    </row>
    <row r="279" spans="1:5" x14ac:dyDescent="0.3">
      <c r="A279" vm="1206">
        <f ca="1"/>
        <v>45096</v>
      </c>
      <c r="B279" t="e" vm="12">
        <f ca="1"/>
        <v>#N/A</v>
      </c>
      <c r="C279" t="e" vm="12">
        <f ca="1"/>
        <v>#N/A</v>
      </c>
      <c r="D279" t="e" vm="12">
        <f ca="1"/>
        <v>#N/A</v>
      </c>
      <c r="E279" t="e" vm="12">
        <f ca="1"/>
        <v>#N/A</v>
      </c>
    </row>
    <row r="280" spans="1:5" x14ac:dyDescent="0.3">
      <c r="A280" vm="1207">
        <f ca="1"/>
        <v>45097</v>
      </c>
      <c r="B280" vm="1208">
        <f ca="1"/>
        <v>76.23</v>
      </c>
      <c r="C280" vm="1209">
        <f ca="1"/>
        <v>77.150000000000006</v>
      </c>
      <c r="D280" vm="940">
        <f ca="1"/>
        <v>74.52</v>
      </c>
      <c r="E280" vm="924">
        <f ca="1"/>
        <v>75.900000000000006</v>
      </c>
    </row>
    <row r="281" spans="1:5" x14ac:dyDescent="0.3">
      <c r="A281" vm="1210">
        <f ca="1"/>
        <v>45098</v>
      </c>
      <c r="B281" vm="1211">
        <f ca="1"/>
        <v>75.5</v>
      </c>
      <c r="C281" vm="1212">
        <f ca="1"/>
        <v>77.239999999999995</v>
      </c>
      <c r="D281" vm="1213">
        <f ca="1"/>
        <v>75.38</v>
      </c>
      <c r="E281" vm="1214">
        <f ca="1"/>
        <v>77.12</v>
      </c>
    </row>
    <row r="282" spans="1:5" x14ac:dyDescent="0.3">
      <c r="A282" vm="1215">
        <f ca="1"/>
        <v>45099</v>
      </c>
      <c r="B282" vm="1110">
        <f ca="1"/>
        <v>76.959999999999994</v>
      </c>
      <c r="C282" vm="1216">
        <f ca="1"/>
        <v>77.19</v>
      </c>
      <c r="D282" vm="1217">
        <f ca="1"/>
        <v>73.58</v>
      </c>
      <c r="E282" vm="1218">
        <f ca="1"/>
        <v>74.14</v>
      </c>
    </row>
    <row r="283" spans="1:5" x14ac:dyDescent="0.3">
      <c r="A283" vm="1219">
        <f ca="1"/>
        <v>45100</v>
      </c>
      <c r="B283" vm="1220">
        <f ca="1"/>
        <v>74.150000000000006</v>
      </c>
      <c r="C283" vm="1221">
        <f ca="1"/>
        <v>74.37</v>
      </c>
      <c r="D283" vm="1222">
        <f ca="1"/>
        <v>72.099999999999994</v>
      </c>
      <c r="E283" vm="929">
        <f ca="1"/>
        <v>73.849999999999994</v>
      </c>
    </row>
    <row r="284" spans="1:5" x14ac:dyDescent="0.3">
      <c r="A284" vm="1223">
        <f ca="1"/>
        <v>45103</v>
      </c>
      <c r="B284" vm="1224">
        <f ca="1"/>
        <v>74.45</v>
      </c>
      <c r="C284" vm="1225">
        <f ca="1"/>
        <v>74.83</v>
      </c>
      <c r="D284" vm="1226">
        <f ca="1"/>
        <v>73.430000000000007</v>
      </c>
      <c r="E284" vm="1160">
        <f ca="1"/>
        <v>74.180000000000007</v>
      </c>
    </row>
    <row r="285" spans="1:5" x14ac:dyDescent="0.3">
      <c r="A285" vm="1227">
        <f ca="1"/>
        <v>45104</v>
      </c>
      <c r="B285" vm="1228">
        <f ca="1"/>
        <v>74.23</v>
      </c>
      <c r="C285" vm="1229">
        <f ca="1"/>
        <v>74.89</v>
      </c>
      <c r="D285" vm="1153">
        <f ca="1"/>
        <v>72.09</v>
      </c>
      <c r="E285" vm="1230">
        <f ca="1"/>
        <v>72.260000000000005</v>
      </c>
    </row>
    <row r="286" spans="1:5" x14ac:dyDescent="0.3">
      <c r="A286" vm="1231">
        <f ca="1"/>
        <v>45105</v>
      </c>
      <c r="B286" vm="1232">
        <f ca="1"/>
        <v>72.56</v>
      </c>
      <c r="C286" vm="1233">
        <f ca="1"/>
        <v>74.209999999999994</v>
      </c>
      <c r="D286" vm="1234">
        <f ca="1"/>
        <v>71.58</v>
      </c>
      <c r="E286" vm="1094">
        <f ca="1"/>
        <v>74.03</v>
      </c>
    </row>
    <row r="287" spans="1:5" x14ac:dyDescent="0.3">
      <c r="A287" vm="1235">
        <f ca="1"/>
        <v>45106</v>
      </c>
      <c r="B287" vm="1236">
        <f ca="1"/>
        <v>73.75</v>
      </c>
      <c r="C287" vm="1237">
        <f ca="1"/>
        <v>74.97</v>
      </c>
      <c r="D287" vm="1238">
        <f ca="1"/>
        <v>73.41</v>
      </c>
      <c r="E287" vm="1239">
        <f ca="1"/>
        <v>74.34</v>
      </c>
    </row>
    <row r="288" spans="1:5" x14ac:dyDescent="0.3">
      <c r="A288" vm="1240">
        <f ca="1"/>
        <v>45107</v>
      </c>
      <c r="B288" vm="1097">
        <f ca="1"/>
        <v>74.25</v>
      </c>
      <c r="C288" vm="1241">
        <f ca="1"/>
        <v>75.13</v>
      </c>
      <c r="D288" vm="1097">
        <f ca="1"/>
        <v>74.25</v>
      </c>
      <c r="E288" vm="1242">
        <f ca="1"/>
        <v>74.900000000000006</v>
      </c>
    </row>
    <row r="289" spans="1:5" x14ac:dyDescent="0.3">
      <c r="A289" vm="1243">
        <f ca="1"/>
        <v>45110</v>
      </c>
      <c r="B289" vm="1241">
        <f ca="1"/>
        <v>75.13</v>
      </c>
      <c r="C289" vm="1244">
        <f ca="1"/>
        <v>76.58</v>
      </c>
      <c r="D289" vm="1245">
        <f ca="1"/>
        <v>74.58</v>
      </c>
      <c r="E289" vm="1191">
        <f ca="1"/>
        <v>74.650000000000006</v>
      </c>
    </row>
    <row r="290" spans="1:5" x14ac:dyDescent="0.3">
      <c r="A290" vm="1246">
        <f ca="1"/>
        <v>45111</v>
      </c>
      <c r="B290" t="e" vm="12">
        <f ca="1"/>
        <v>#N/A</v>
      </c>
      <c r="C290" t="e" vm="12">
        <f ca="1"/>
        <v>#N/A</v>
      </c>
      <c r="D290" t="e" vm="12">
        <f ca="1"/>
        <v>#N/A</v>
      </c>
      <c r="E290" t="e" vm="12">
        <f ca="1"/>
        <v>#N/A</v>
      </c>
    </row>
    <row r="291" spans="1:5" x14ac:dyDescent="0.3">
      <c r="A291" vm="1247">
        <f ca="1"/>
        <v>45112</v>
      </c>
      <c r="B291" vm="1248">
        <f ca="1"/>
        <v>74.94</v>
      </c>
      <c r="C291" vm="627">
        <f ca="1"/>
        <v>76.94</v>
      </c>
      <c r="D291" vm="1249">
        <f ca="1"/>
        <v>74.78</v>
      </c>
      <c r="E291" vm="1250">
        <f ca="1"/>
        <v>76.650000000000006</v>
      </c>
    </row>
    <row r="292" spans="1:5" x14ac:dyDescent="0.3">
      <c r="A292" vm="1251">
        <f ca="1"/>
        <v>45113</v>
      </c>
      <c r="B292" vm="1252">
        <f ca="1"/>
        <v>76.540000000000006</v>
      </c>
      <c r="C292" vm="1253">
        <f ca="1"/>
        <v>77.08</v>
      </c>
      <c r="D292" vm="1254">
        <f ca="1"/>
        <v>75.010000000000005</v>
      </c>
      <c r="E292" vm="1255">
        <f ca="1"/>
        <v>76.52</v>
      </c>
    </row>
    <row r="293" spans="1:5" x14ac:dyDescent="0.3">
      <c r="A293" vm="1256">
        <f ca="1"/>
        <v>45114</v>
      </c>
      <c r="B293" vm="1257">
        <f ca="1"/>
        <v>76.48</v>
      </c>
      <c r="C293" vm="1258">
        <f ca="1"/>
        <v>78.53</v>
      </c>
      <c r="D293" vm="1259">
        <f ca="1"/>
        <v>76.02</v>
      </c>
      <c r="E293" vm="1260">
        <f ca="1"/>
        <v>78.47</v>
      </c>
    </row>
    <row r="294" spans="1:5" x14ac:dyDescent="0.3">
      <c r="A294" vm="1261">
        <f ca="1"/>
        <v>45117</v>
      </c>
      <c r="B294" vm="1262">
        <f ca="1"/>
        <v>78.489999999999995</v>
      </c>
      <c r="C294" vm="1263">
        <f ca="1"/>
        <v>78.78</v>
      </c>
      <c r="D294" vm="1264">
        <f ca="1"/>
        <v>77.34</v>
      </c>
      <c r="E294" vm="1040">
        <f ca="1"/>
        <v>77.69</v>
      </c>
    </row>
    <row r="295" spans="1:5" x14ac:dyDescent="0.3">
      <c r="A295" vm="1265">
        <f ca="1"/>
        <v>45118</v>
      </c>
      <c r="B295" vm="1266">
        <f ca="1"/>
        <v>77.86</v>
      </c>
      <c r="C295" vm="1267">
        <f ca="1"/>
        <v>79.5</v>
      </c>
      <c r="D295" vm="1268">
        <f ca="1"/>
        <v>77.64</v>
      </c>
      <c r="E295" vm="1269">
        <f ca="1"/>
        <v>79.400000000000006</v>
      </c>
    </row>
    <row r="296" spans="1:5" x14ac:dyDescent="0.3">
      <c r="A296" vm="1270">
        <f ca="1"/>
        <v>45119</v>
      </c>
      <c r="B296" vm="972">
        <f ca="1"/>
        <v>79.28</v>
      </c>
      <c r="C296" vm="723">
        <f ca="1"/>
        <v>80.569999999999993</v>
      </c>
      <c r="D296" vm="1271">
        <f ca="1"/>
        <v>79.22</v>
      </c>
      <c r="E296" vm="1272">
        <f ca="1"/>
        <v>80.11</v>
      </c>
    </row>
    <row r="297" spans="1:5" x14ac:dyDescent="0.3">
      <c r="A297" vm="1273">
        <f ca="1"/>
        <v>45120</v>
      </c>
      <c r="B297" vm="1274">
        <f ca="1"/>
        <v>80.150000000000006</v>
      </c>
      <c r="C297" vm="1275">
        <f ca="1"/>
        <v>81.75</v>
      </c>
      <c r="D297" vm="1276">
        <f ca="1"/>
        <v>79.87</v>
      </c>
      <c r="E297" vm="1277">
        <f ca="1"/>
        <v>81.36</v>
      </c>
    </row>
    <row r="298" spans="1:5" x14ac:dyDescent="0.3">
      <c r="A298" vm="1278">
        <f ca="1"/>
        <v>45121</v>
      </c>
      <c r="B298" vm="1279">
        <f ca="1"/>
        <v>81.61</v>
      </c>
      <c r="C298" vm="1280">
        <f ca="1"/>
        <v>81.69</v>
      </c>
      <c r="D298" vm="1281">
        <f ca="1"/>
        <v>79.569999999999993</v>
      </c>
      <c r="E298" vm="1276">
        <f ca="1"/>
        <v>79.87</v>
      </c>
    </row>
    <row r="299" spans="1:5" x14ac:dyDescent="0.3">
      <c r="A299" vm="1282">
        <f ca="1"/>
        <v>45124</v>
      </c>
      <c r="B299" vm="1283">
        <f ca="1"/>
        <v>79.45</v>
      </c>
      <c r="C299" vm="1284">
        <f ca="1"/>
        <v>80.62</v>
      </c>
      <c r="D299" vm="1134">
        <f ca="1"/>
        <v>78.260000000000005</v>
      </c>
      <c r="E299" vm="1135">
        <f ca="1"/>
        <v>78.5</v>
      </c>
    </row>
    <row r="300" spans="1:5" x14ac:dyDescent="0.3">
      <c r="A300" vm="1285">
        <f ca="1"/>
        <v>45125</v>
      </c>
      <c r="B300" vm="1258">
        <f ca="1"/>
        <v>78.53</v>
      </c>
      <c r="C300" vm="1286">
        <f ca="1"/>
        <v>80.010000000000005</v>
      </c>
      <c r="D300" vm="1287">
        <f ca="1"/>
        <v>78.2</v>
      </c>
      <c r="E300" vm="1288">
        <f ca="1"/>
        <v>79.63</v>
      </c>
    </row>
    <row r="301" spans="1:5" x14ac:dyDescent="0.3">
      <c r="A301" vm="1289">
        <f ca="1"/>
        <v>45126</v>
      </c>
      <c r="B301" vm="667">
        <f ca="1"/>
        <v>79.8</v>
      </c>
      <c r="C301" vm="1290">
        <f ca="1"/>
        <v>80.95</v>
      </c>
      <c r="D301" vm="631">
        <f ca="1"/>
        <v>79.180000000000007</v>
      </c>
      <c r="E301" vm="1291">
        <f ca="1"/>
        <v>79.459999999999994</v>
      </c>
    </row>
    <row r="302" spans="1:5" x14ac:dyDescent="0.3">
      <c r="A302" vm="1292">
        <f ca="1"/>
        <v>45127</v>
      </c>
      <c r="B302" vm="1267">
        <f ca="1"/>
        <v>79.5</v>
      </c>
      <c r="C302" vm="1293">
        <f ca="1"/>
        <v>80.27</v>
      </c>
      <c r="D302" vm="1294">
        <f ca="1"/>
        <v>78.67</v>
      </c>
      <c r="E302" vm="1295">
        <f ca="1"/>
        <v>79.64</v>
      </c>
    </row>
    <row r="303" spans="1:5" x14ac:dyDescent="0.3">
      <c r="A303" vm="1296">
        <f ca="1"/>
        <v>45128</v>
      </c>
      <c r="B303" vm="1297">
        <f ca="1"/>
        <v>79.66</v>
      </c>
      <c r="C303" vm="802">
        <f ca="1"/>
        <v>81.239999999999995</v>
      </c>
      <c r="D303" vm="1297">
        <f ca="1"/>
        <v>79.66</v>
      </c>
      <c r="E303" vm="864">
        <f ca="1"/>
        <v>81.069999999999993</v>
      </c>
    </row>
    <row r="304" spans="1:5" x14ac:dyDescent="0.3">
      <c r="A304" vm="1298">
        <f ca="1"/>
        <v>45131</v>
      </c>
      <c r="B304" vm="812">
        <f ca="1"/>
        <v>80.989999999999995</v>
      </c>
      <c r="C304" vm="865">
        <f ca="1"/>
        <v>83.16</v>
      </c>
      <c r="D304" vm="1299">
        <f ca="1"/>
        <v>80.42</v>
      </c>
      <c r="E304" vm="853">
        <f ca="1"/>
        <v>82.74</v>
      </c>
    </row>
    <row r="305" spans="1:5" x14ac:dyDescent="0.3">
      <c r="A305" vm="1300">
        <f ca="1"/>
        <v>45132</v>
      </c>
      <c r="B305" vm="1301">
        <f ca="1"/>
        <v>82.83</v>
      </c>
      <c r="C305" vm="1302">
        <f ca="1"/>
        <v>83.88</v>
      </c>
      <c r="D305" vm="1303">
        <f ca="1"/>
        <v>82.24</v>
      </c>
      <c r="E305" vm="1304">
        <f ca="1"/>
        <v>83.64</v>
      </c>
    </row>
    <row r="306" spans="1:5" x14ac:dyDescent="0.3">
      <c r="A306" vm="1305">
        <f ca="1"/>
        <v>45133</v>
      </c>
      <c r="B306" vm="1306">
        <f ca="1"/>
        <v>83.27</v>
      </c>
      <c r="C306" vm="679">
        <f ca="1"/>
        <v>83.86</v>
      </c>
      <c r="D306" vm="1307">
        <f ca="1"/>
        <v>82.6</v>
      </c>
      <c r="E306" vm="1308">
        <f ca="1"/>
        <v>82.92</v>
      </c>
    </row>
    <row r="307" spans="1:5" x14ac:dyDescent="0.3">
      <c r="A307" vm="1309">
        <f ca="1"/>
        <v>45134</v>
      </c>
      <c r="B307" vm="599">
        <f ca="1"/>
        <v>83.03</v>
      </c>
      <c r="C307" vm="1310">
        <f ca="1"/>
        <v>84.51</v>
      </c>
      <c r="D307" vm="1031">
        <f ca="1"/>
        <v>82.99</v>
      </c>
      <c r="E307" vm="1311">
        <f ca="1"/>
        <v>84.24</v>
      </c>
    </row>
    <row r="308" spans="1:5" x14ac:dyDescent="0.3">
      <c r="A308" vm="1312">
        <f ca="1"/>
        <v>45135</v>
      </c>
      <c r="B308" vm="592">
        <f ca="1"/>
        <v>84.05</v>
      </c>
      <c r="C308" vm="983">
        <f ca="1"/>
        <v>85.1</v>
      </c>
      <c r="D308" vm="1313">
        <f ca="1"/>
        <v>83.22</v>
      </c>
      <c r="E308" vm="985">
        <f ca="1"/>
        <v>84.99</v>
      </c>
    </row>
    <row r="309" spans="1:5" x14ac:dyDescent="0.3">
      <c r="A309" vm="1314">
        <f ca="1"/>
        <v>45138</v>
      </c>
      <c r="B309" vm="1315">
        <f ca="1"/>
        <v>84.88</v>
      </c>
      <c r="C309" vm="1316">
        <f ca="1"/>
        <v>85.66</v>
      </c>
      <c r="D309" vm="1317">
        <f ca="1"/>
        <v>84.52</v>
      </c>
      <c r="E309" vm="1318">
        <f ca="1"/>
        <v>85.56</v>
      </c>
    </row>
    <row r="310" spans="1:5" x14ac:dyDescent="0.3">
      <c r="A310" vm="1319">
        <f ca="1"/>
        <v>45139</v>
      </c>
      <c r="B310" vm="1320">
        <f ca="1"/>
        <v>85.35</v>
      </c>
      <c r="C310" vm="570">
        <f ca="1"/>
        <v>85.79</v>
      </c>
      <c r="D310" vm="1321">
        <f ca="1"/>
        <v>84.26</v>
      </c>
      <c r="E310" vm="1322">
        <f ca="1"/>
        <v>84.91</v>
      </c>
    </row>
    <row r="311" spans="1:5" x14ac:dyDescent="0.3">
      <c r="A311" vm="1323">
        <f ca="1"/>
        <v>45140</v>
      </c>
      <c r="B311" vm="1324">
        <f ca="1"/>
        <v>85.73</v>
      </c>
      <c r="C311" vm="1325">
        <f ca="1"/>
        <v>85.98</v>
      </c>
      <c r="D311" vm="859">
        <f ca="1"/>
        <v>82.75</v>
      </c>
      <c r="E311" vm="1326">
        <f ca="1"/>
        <v>83.2</v>
      </c>
    </row>
    <row r="312" spans="1:5" x14ac:dyDescent="0.3">
      <c r="A312" vm="1327">
        <f ca="1"/>
        <v>45141</v>
      </c>
      <c r="B312" vm="1328">
        <f ca="1"/>
        <v>83.44</v>
      </c>
      <c r="C312" vm="1329">
        <f ca="1"/>
        <v>85.42</v>
      </c>
      <c r="D312" vm="678">
        <f ca="1"/>
        <v>82.37</v>
      </c>
      <c r="E312" vm="841">
        <f ca="1"/>
        <v>85.14</v>
      </c>
    </row>
    <row r="313" spans="1:5" x14ac:dyDescent="0.3">
      <c r="A313" vm="1330">
        <f ca="1"/>
        <v>45142</v>
      </c>
      <c r="B313" vm="1331">
        <f ca="1"/>
        <v>85.32</v>
      </c>
      <c r="C313" vm="1332">
        <f ca="1"/>
        <v>86.65</v>
      </c>
      <c r="D313" vm="1333">
        <f ca="1"/>
        <v>85.11</v>
      </c>
      <c r="E313" vm="976">
        <f ca="1"/>
        <v>86.24</v>
      </c>
    </row>
    <row r="314" spans="1:5" x14ac:dyDescent="0.3">
      <c r="A314" vm="1334">
        <f ca="1"/>
        <v>45145</v>
      </c>
      <c r="B314" vm="1335">
        <f ca="1"/>
        <v>86.14</v>
      </c>
      <c r="C314" vm="1336">
        <f ca="1"/>
        <v>86.71</v>
      </c>
      <c r="D314" vm="1337">
        <f ca="1"/>
        <v>85.04</v>
      </c>
      <c r="E314" vm="1338">
        <f ca="1"/>
        <v>85.34</v>
      </c>
    </row>
    <row r="315" spans="1:5" x14ac:dyDescent="0.3">
      <c r="A315" vm="1339">
        <f ca="1"/>
        <v>45146</v>
      </c>
      <c r="B315" vm="1340">
        <f ca="1"/>
        <v>85.84</v>
      </c>
      <c r="C315" vm="1341">
        <f ca="1"/>
        <v>86.35</v>
      </c>
      <c r="D315" vm="1342">
        <f ca="1"/>
        <v>83.32</v>
      </c>
      <c r="E315" vm="1343">
        <f ca="1"/>
        <v>86.17</v>
      </c>
    </row>
    <row r="316" spans="1:5" x14ac:dyDescent="0.3">
      <c r="A316" vm="1344">
        <f ca="1"/>
        <v>45147</v>
      </c>
      <c r="B316" vm="1345">
        <f ca="1"/>
        <v>86.01</v>
      </c>
      <c r="C316" vm="402">
        <f ca="1"/>
        <v>87.66</v>
      </c>
      <c r="D316" vm="1346">
        <f ca="1"/>
        <v>85.94</v>
      </c>
      <c r="E316" vm="1347">
        <f ca="1"/>
        <v>87.55</v>
      </c>
    </row>
    <row r="317" spans="1:5" x14ac:dyDescent="0.3">
      <c r="A317" vm="1348">
        <f ca="1"/>
        <v>45148</v>
      </c>
      <c r="B317" vm="579">
        <f ca="1"/>
        <v>87.37</v>
      </c>
      <c r="C317" vm="1349">
        <f ca="1"/>
        <v>88.1</v>
      </c>
      <c r="D317" vm="399">
        <f ca="1"/>
        <v>86.15</v>
      </c>
      <c r="E317" vm="834">
        <f ca="1"/>
        <v>86.4</v>
      </c>
    </row>
    <row r="318" spans="1:5" x14ac:dyDescent="0.3">
      <c r="A318" vm="1350">
        <f ca="1"/>
        <v>45149</v>
      </c>
      <c r="B318" vm="828">
        <f ca="1"/>
        <v>86.39</v>
      </c>
      <c r="C318" vm="1351">
        <f ca="1"/>
        <v>87.35</v>
      </c>
      <c r="D318" vm="837">
        <f ca="1"/>
        <v>85.85</v>
      </c>
      <c r="E318" vm="1352">
        <f ca="1"/>
        <v>86.81</v>
      </c>
    </row>
    <row r="319" spans="1:5" x14ac:dyDescent="0.3">
      <c r="A319" vm="1353">
        <f ca="1"/>
        <v>45152</v>
      </c>
      <c r="B319" vm="1354">
        <f ca="1"/>
        <v>86.64</v>
      </c>
      <c r="C319" vm="1355">
        <f ca="1"/>
        <v>86.7</v>
      </c>
      <c r="D319" vm="821">
        <f ca="1"/>
        <v>85.5</v>
      </c>
      <c r="E319" vm="1356">
        <f ca="1"/>
        <v>86.21</v>
      </c>
    </row>
    <row r="320" spans="1:5" x14ac:dyDescent="0.3">
      <c r="A320" vm="1357">
        <f ca="1"/>
        <v>45153</v>
      </c>
      <c r="B320" vm="778">
        <f ca="1"/>
        <v>86.3</v>
      </c>
      <c r="C320" vm="1358">
        <f ca="1"/>
        <v>86.67</v>
      </c>
      <c r="D320" vm="850">
        <f ca="1"/>
        <v>84.29</v>
      </c>
      <c r="E320" vm="1359">
        <f ca="1"/>
        <v>84.89</v>
      </c>
    </row>
    <row r="321" spans="1:5" x14ac:dyDescent="0.3">
      <c r="A321" vm="1360">
        <f ca="1"/>
        <v>45154</v>
      </c>
      <c r="B321" vm="988">
        <f ca="1"/>
        <v>85.12</v>
      </c>
      <c r="C321" vm="1361">
        <f ca="1"/>
        <v>85.36</v>
      </c>
      <c r="D321" vm="867">
        <f ca="1"/>
        <v>83.12</v>
      </c>
      <c r="E321" vm="1362">
        <f ca="1"/>
        <v>83.45</v>
      </c>
    </row>
    <row r="322" spans="1:5" x14ac:dyDescent="0.3">
      <c r="A322" vm="1363">
        <f ca="1"/>
        <v>45155</v>
      </c>
      <c r="B322" vm="1364">
        <f ca="1"/>
        <v>83.35</v>
      </c>
      <c r="C322" vm="1359">
        <f ca="1"/>
        <v>84.89</v>
      </c>
      <c r="D322" vm="851">
        <f ca="1"/>
        <v>83.05</v>
      </c>
      <c r="E322" vm="583">
        <f ca="1"/>
        <v>84.12</v>
      </c>
    </row>
    <row r="323" spans="1:5" x14ac:dyDescent="0.3">
      <c r="A323" vm="1365">
        <f ca="1"/>
        <v>45156</v>
      </c>
      <c r="B323" vm="1366">
        <f ca="1"/>
        <v>83.83</v>
      </c>
      <c r="C323" vm="820">
        <f ca="1"/>
        <v>85.07</v>
      </c>
      <c r="D323" vm="1342">
        <f ca="1"/>
        <v>83.32</v>
      </c>
      <c r="E323" vm="1367">
        <f ca="1"/>
        <v>84.8</v>
      </c>
    </row>
    <row r="324" spans="1:5" x14ac:dyDescent="0.3">
      <c r="A324" vm="1368">
        <f ca="1"/>
        <v>45159</v>
      </c>
      <c r="B324" vm="1369">
        <f ca="1"/>
        <v>85.06</v>
      </c>
      <c r="C324" vm="1370">
        <f ca="1"/>
        <v>85.87</v>
      </c>
      <c r="D324" vm="876">
        <f ca="1"/>
        <v>84.31</v>
      </c>
      <c r="E324" vm="687">
        <f ca="1"/>
        <v>84.46</v>
      </c>
    </row>
    <row r="325" spans="1:5" x14ac:dyDescent="0.3">
      <c r="A325" vm="1371">
        <f ca="1"/>
        <v>45160</v>
      </c>
      <c r="B325" vm="1372">
        <f ca="1"/>
        <v>84.39</v>
      </c>
      <c r="C325" vm="1373">
        <f ca="1"/>
        <v>84.65</v>
      </c>
      <c r="D325" vm="878">
        <f ca="1"/>
        <v>83.84</v>
      </c>
      <c r="E325" vm="742">
        <f ca="1"/>
        <v>84.03</v>
      </c>
    </row>
    <row r="326" spans="1:5" x14ac:dyDescent="0.3">
      <c r="A326" vm="1374">
        <f ca="1"/>
        <v>45161</v>
      </c>
      <c r="B326" vm="1375">
        <f ca="1"/>
        <v>83.98</v>
      </c>
      <c r="C326" vm="1311">
        <f ca="1"/>
        <v>84.24</v>
      </c>
      <c r="D326" vm="1376">
        <f ca="1"/>
        <v>81.97</v>
      </c>
      <c r="E326" vm="1377">
        <f ca="1"/>
        <v>83.21</v>
      </c>
    </row>
    <row r="327" spans="1:5" x14ac:dyDescent="0.3">
      <c r="A327" vm="1378">
        <f ca="1"/>
        <v>45162</v>
      </c>
      <c r="B327" vm="1031">
        <f ca="1"/>
        <v>82.99</v>
      </c>
      <c r="C327" vm="1379">
        <f ca="1"/>
        <v>83.61</v>
      </c>
      <c r="D327" vm="1376">
        <f ca="1"/>
        <v>81.97</v>
      </c>
      <c r="E327" vm="1380">
        <f ca="1"/>
        <v>83.36</v>
      </c>
    </row>
    <row r="328" spans="1:5" x14ac:dyDescent="0.3">
      <c r="A328" vm="1381">
        <f ca="1"/>
        <v>45163</v>
      </c>
      <c r="B328" vm="1326">
        <f ca="1"/>
        <v>83.2</v>
      </c>
      <c r="C328" vm="1382">
        <f ca="1"/>
        <v>84.97</v>
      </c>
      <c r="D328" vm="1383">
        <f ca="1"/>
        <v>82.69</v>
      </c>
      <c r="E328" vm="1384">
        <f ca="1"/>
        <v>84.48</v>
      </c>
    </row>
    <row r="329" spans="1:5" x14ac:dyDescent="0.3">
      <c r="A329" vm="1385">
        <f ca="1"/>
        <v>45166</v>
      </c>
      <c r="B329" vm="1386">
        <f ca="1"/>
        <v>84.87</v>
      </c>
      <c r="C329" vm="1387">
        <f ca="1"/>
        <v>85.22</v>
      </c>
      <c r="D329" vm="1388">
        <f ca="1"/>
        <v>84.11</v>
      </c>
      <c r="E329" vm="1389">
        <f ca="1"/>
        <v>84.42</v>
      </c>
    </row>
    <row r="330" spans="1:5" x14ac:dyDescent="0.3">
      <c r="A330" vm="1390">
        <f ca="1"/>
        <v>45167</v>
      </c>
      <c r="B330" vm="1391">
        <f ca="1"/>
        <v>84.38</v>
      </c>
      <c r="C330" vm="1392">
        <f ca="1"/>
        <v>85.65</v>
      </c>
      <c r="D330" vm="1393">
        <f ca="1"/>
        <v>83.78</v>
      </c>
      <c r="E330" vm="745">
        <f ca="1"/>
        <v>85.49</v>
      </c>
    </row>
    <row r="331" spans="1:5" x14ac:dyDescent="0.3">
      <c r="A331" vm="1394">
        <f ca="1"/>
        <v>45168</v>
      </c>
      <c r="B331" vm="1395">
        <f ca="1"/>
        <v>85.63</v>
      </c>
      <c r="C331" vm="1356">
        <f ca="1"/>
        <v>86.21</v>
      </c>
      <c r="D331" vm="1396">
        <f ca="1"/>
        <v>85.13</v>
      </c>
      <c r="E331" vm="1397">
        <f ca="1"/>
        <v>85.86</v>
      </c>
    </row>
    <row r="332" spans="1:5" x14ac:dyDescent="0.3">
      <c r="A332" vm="1398">
        <f ca="1"/>
        <v>45169</v>
      </c>
      <c r="B332" vm="837">
        <f ca="1"/>
        <v>85.85</v>
      </c>
      <c r="C332" vm="588">
        <f ca="1"/>
        <v>86.9</v>
      </c>
      <c r="D332" vm="837">
        <f ca="1"/>
        <v>85.85</v>
      </c>
      <c r="E332" vm="1008">
        <f ca="1"/>
        <v>86.86</v>
      </c>
    </row>
    <row r="333" spans="1:5" x14ac:dyDescent="0.3">
      <c r="A333" vm="1399">
        <f ca="1"/>
        <v>45170</v>
      </c>
      <c r="B333" vm="751">
        <f ca="1"/>
        <v>86.82</v>
      </c>
      <c r="C333" vm="1400">
        <f ca="1"/>
        <v>88.96</v>
      </c>
      <c r="D333" vm="1401">
        <f ca="1"/>
        <v>86.74</v>
      </c>
      <c r="E333" vm="1402">
        <f ca="1"/>
        <v>88.55</v>
      </c>
    </row>
    <row r="334" spans="1:5" x14ac:dyDescent="0.3">
      <c r="A334" vm="1403">
        <f ca="1"/>
        <v>45173</v>
      </c>
      <c r="B334" t="e" vm="12">
        <f ca="1"/>
        <v>#N/A</v>
      </c>
      <c r="C334" t="e" vm="12">
        <f ca="1"/>
        <v>#N/A</v>
      </c>
      <c r="D334" t="e" vm="12">
        <f ca="1"/>
        <v>#N/A</v>
      </c>
      <c r="E334" t="e" vm="12">
        <f ca="1"/>
        <v>#N/A</v>
      </c>
    </row>
    <row r="335" spans="1:5" x14ac:dyDescent="0.3">
      <c r="A335" vm="1404">
        <f ca="1"/>
        <v>45174</v>
      </c>
      <c r="B335" vm="1405">
        <f ca="1"/>
        <v>88.7</v>
      </c>
      <c r="C335" vm="1406">
        <f ca="1"/>
        <v>91.18</v>
      </c>
      <c r="D335" vm="1407">
        <f ca="1"/>
        <v>88.07</v>
      </c>
      <c r="E335" vm="1408">
        <f ca="1"/>
        <v>90.04</v>
      </c>
    </row>
    <row r="336" spans="1:5" x14ac:dyDescent="0.3">
      <c r="A336" vm="1409">
        <f ca="1"/>
        <v>45175</v>
      </c>
      <c r="B336" vm="568">
        <f ca="1"/>
        <v>89.98</v>
      </c>
      <c r="C336" vm="1410">
        <f ca="1"/>
        <v>91.11</v>
      </c>
      <c r="D336" vm="1411">
        <f ca="1"/>
        <v>89.25</v>
      </c>
      <c r="E336" vm="1412">
        <f ca="1"/>
        <v>90.6</v>
      </c>
    </row>
    <row r="337" spans="1:5" x14ac:dyDescent="0.3">
      <c r="A337" vm="1413">
        <f ca="1"/>
        <v>45176</v>
      </c>
      <c r="B337" vm="569">
        <f ca="1"/>
        <v>90.61</v>
      </c>
      <c r="C337" vm="1414">
        <f ca="1"/>
        <v>90.86</v>
      </c>
      <c r="D337" vm="1415">
        <f ca="1"/>
        <v>89.47</v>
      </c>
      <c r="E337" vm="392">
        <f ca="1"/>
        <v>89.92</v>
      </c>
    </row>
    <row r="338" spans="1:5" x14ac:dyDescent="0.3">
      <c r="A338" vm="1416">
        <f ca="1"/>
        <v>45177</v>
      </c>
      <c r="B338" vm="385">
        <f ca="1"/>
        <v>89.8</v>
      </c>
      <c r="C338" vm="491">
        <f ca="1"/>
        <v>91.02</v>
      </c>
      <c r="D338" vm="390">
        <f ca="1"/>
        <v>89.3</v>
      </c>
      <c r="E338" vm="375">
        <f ca="1"/>
        <v>90.65</v>
      </c>
    </row>
    <row r="339" spans="1:5" x14ac:dyDescent="0.3">
      <c r="A339" vm="1417">
        <f ca="1"/>
        <v>45180</v>
      </c>
      <c r="B339" vm="1418">
        <f ca="1"/>
        <v>90.66</v>
      </c>
      <c r="C339" vm="1419">
        <f ca="1"/>
        <v>91.45</v>
      </c>
      <c r="D339" vm="1420">
        <f ca="1"/>
        <v>90.12</v>
      </c>
      <c r="E339" vm="1421">
        <f ca="1"/>
        <v>90.64</v>
      </c>
    </row>
    <row r="340" spans="1:5" x14ac:dyDescent="0.3">
      <c r="A340" vm="1422">
        <f ca="1"/>
        <v>45181</v>
      </c>
      <c r="B340" vm="1423">
        <f ca="1"/>
        <v>90.56</v>
      </c>
      <c r="C340" vm="1424">
        <f ca="1"/>
        <v>92.42</v>
      </c>
      <c r="D340" vm="1425">
        <f ca="1"/>
        <v>90.54</v>
      </c>
      <c r="E340" vm="1426">
        <f ca="1"/>
        <v>92.06</v>
      </c>
    </row>
    <row r="341" spans="1:5" x14ac:dyDescent="0.3">
      <c r="A341" vm="1427">
        <f ca="1"/>
        <v>45182</v>
      </c>
      <c r="B341" vm="1428">
        <f ca="1"/>
        <v>91.93</v>
      </c>
      <c r="C341" vm="338">
        <f ca="1"/>
        <v>92.83</v>
      </c>
      <c r="D341" vm="469">
        <f ca="1"/>
        <v>91.63</v>
      </c>
      <c r="E341" vm="1429">
        <f ca="1"/>
        <v>91.88</v>
      </c>
    </row>
    <row r="342" spans="1:5" x14ac:dyDescent="0.3">
      <c r="A342" vm="1430">
        <f ca="1"/>
        <v>45183</v>
      </c>
      <c r="B342" vm="1431">
        <f ca="1"/>
        <v>92.2</v>
      </c>
      <c r="C342" vm="360">
        <f ca="1"/>
        <v>94.21</v>
      </c>
      <c r="D342" vm="1432">
        <f ca="1"/>
        <v>92.03</v>
      </c>
      <c r="E342" vm="1433">
        <f ca="1"/>
        <v>93.7</v>
      </c>
    </row>
    <row r="343" spans="1:5" x14ac:dyDescent="0.3">
      <c r="A343" vm="1434">
        <f ca="1"/>
        <v>45184</v>
      </c>
      <c r="B343" vm="1435">
        <f ca="1"/>
        <v>94.13</v>
      </c>
      <c r="C343" vm="1436">
        <f ca="1"/>
        <v>94.61</v>
      </c>
      <c r="D343" vm="1437">
        <f ca="1"/>
        <v>92.67</v>
      </c>
      <c r="E343" vm="444">
        <f ca="1"/>
        <v>93.93</v>
      </c>
    </row>
    <row r="344" spans="1:5" x14ac:dyDescent="0.3">
      <c r="A344" vm="1438">
        <f ca="1"/>
        <v>45187</v>
      </c>
      <c r="B344" vm="1439">
        <f ca="1"/>
        <v>94.2</v>
      </c>
      <c r="C344" vm="1440">
        <f ca="1"/>
        <v>94.95</v>
      </c>
      <c r="D344" vm="1441">
        <f ca="1"/>
        <v>93.78</v>
      </c>
      <c r="E344" vm="370">
        <f ca="1"/>
        <v>94.43</v>
      </c>
    </row>
    <row r="345" spans="1:5" x14ac:dyDescent="0.3">
      <c r="A345" vm="1442">
        <f ca="1"/>
        <v>45188</v>
      </c>
      <c r="B345" vm="1443">
        <f ca="1"/>
        <v>94.63</v>
      </c>
      <c r="C345" vm="272">
        <f ca="1"/>
        <v>95.95</v>
      </c>
      <c r="D345" vm="1444">
        <f ca="1"/>
        <v>94.17</v>
      </c>
      <c r="E345" vm="529">
        <f ca="1"/>
        <v>94.34</v>
      </c>
    </row>
    <row r="346" spans="1:5" x14ac:dyDescent="0.3">
      <c r="A346" vm="1445">
        <f ca="1"/>
        <v>45189</v>
      </c>
      <c r="B346" vm="527">
        <f ca="1"/>
        <v>94.48</v>
      </c>
      <c r="C346" vm="1446">
        <f ca="1"/>
        <v>94.73</v>
      </c>
      <c r="D346" vm="1447">
        <f ca="1"/>
        <v>92.76</v>
      </c>
      <c r="E346" vm="1448">
        <f ca="1"/>
        <v>93.53</v>
      </c>
    </row>
    <row r="347" spans="1:5" x14ac:dyDescent="0.3">
      <c r="A347" vm="1449">
        <f ca="1"/>
        <v>45190</v>
      </c>
      <c r="B347" vm="1450">
        <f ca="1"/>
        <v>93.22</v>
      </c>
      <c r="C347" vm="1451">
        <f ca="1"/>
        <v>94.6</v>
      </c>
      <c r="D347" vm="1431">
        <f ca="1"/>
        <v>92.2</v>
      </c>
      <c r="E347" vm="1452">
        <f ca="1"/>
        <v>93.3</v>
      </c>
    </row>
    <row r="348" spans="1:5" x14ac:dyDescent="0.3">
      <c r="A348" vm="1453">
        <f ca="1"/>
        <v>45191</v>
      </c>
      <c r="B348" vm="1454">
        <f ca="1"/>
        <v>93.32</v>
      </c>
      <c r="C348" vm="1443">
        <f ca="1"/>
        <v>94.63</v>
      </c>
      <c r="D348" vm="340">
        <f ca="1"/>
        <v>92.8</v>
      </c>
      <c r="E348" vm="547">
        <f ca="1"/>
        <v>93.27</v>
      </c>
    </row>
    <row r="349" spans="1:5" x14ac:dyDescent="0.3">
      <c r="A349" vm="1455">
        <f ca="1"/>
        <v>45194</v>
      </c>
      <c r="B349" vm="1456">
        <f ca="1"/>
        <v>93.75</v>
      </c>
      <c r="C349" vm="288">
        <f ca="1"/>
        <v>94.25</v>
      </c>
      <c r="D349" vm="542">
        <f ca="1"/>
        <v>92.54</v>
      </c>
      <c r="E349" vm="1457">
        <f ca="1"/>
        <v>93.29</v>
      </c>
    </row>
    <row r="350" spans="1:5" x14ac:dyDescent="0.3">
      <c r="A350" vm="1458">
        <f ca="1"/>
        <v>45195</v>
      </c>
      <c r="B350" vm="495">
        <f ca="1"/>
        <v>93.26</v>
      </c>
      <c r="C350" vm="360">
        <f ca="1"/>
        <v>94.21</v>
      </c>
      <c r="D350" vm="431">
        <f ca="1"/>
        <v>91.8</v>
      </c>
      <c r="E350" vm="1459">
        <f ca="1"/>
        <v>93.96</v>
      </c>
    </row>
    <row r="351" spans="1:5" x14ac:dyDescent="0.3">
      <c r="A351" vm="1460">
        <f ca="1"/>
        <v>45196</v>
      </c>
      <c r="B351" vm="525">
        <f ca="1"/>
        <v>94.16</v>
      </c>
      <c r="C351" vm="1461">
        <f ca="1"/>
        <v>97.04</v>
      </c>
      <c r="D351" vm="1462">
        <f ca="1"/>
        <v>94.15</v>
      </c>
      <c r="E351" vm="1463">
        <f ca="1"/>
        <v>96.55</v>
      </c>
    </row>
    <row r="352" spans="1:5" x14ac:dyDescent="0.3">
      <c r="A352" vm="1464">
        <f ca="1"/>
        <v>45197</v>
      </c>
      <c r="B352" vm="1465">
        <f ca="1"/>
        <v>96.62</v>
      </c>
      <c r="C352" vm="234">
        <f ca="1"/>
        <v>97.63</v>
      </c>
      <c r="D352" vm="466">
        <f ca="1"/>
        <v>94.75</v>
      </c>
      <c r="E352" vm="1466">
        <f ca="1"/>
        <v>95.38</v>
      </c>
    </row>
    <row r="353" spans="1:5" x14ac:dyDescent="0.3">
      <c r="A353" vm="1467">
        <f ca="1"/>
        <v>45198</v>
      </c>
      <c r="B353" vm="269">
        <f ca="1"/>
        <v>95.1</v>
      </c>
      <c r="C353" vm="1468">
        <f ca="1"/>
        <v>96.24</v>
      </c>
      <c r="D353" vm="1469">
        <f ca="1"/>
        <v>94.96</v>
      </c>
      <c r="E353" vm="1470">
        <f ca="1"/>
        <v>95.31</v>
      </c>
    </row>
    <row r="354" spans="1:5" x14ac:dyDescent="0.3">
      <c r="A354" vm="1471">
        <f ca="1"/>
        <v>45201</v>
      </c>
      <c r="B354" vm="1472">
        <f ca="1"/>
        <v>92.19</v>
      </c>
      <c r="C354" vm="1454">
        <f ca="1"/>
        <v>93.32</v>
      </c>
      <c r="D354" vm="396">
        <f ca="1"/>
        <v>90.35</v>
      </c>
      <c r="E354" vm="397">
        <f ca="1"/>
        <v>90.71</v>
      </c>
    </row>
    <row r="355" spans="1:5" x14ac:dyDescent="0.3">
      <c r="A355" vm="1473">
        <f ca="1"/>
        <v>45202</v>
      </c>
      <c r="B355" vm="1474">
        <f ca="1"/>
        <v>90.44</v>
      </c>
      <c r="C355" vm="1475">
        <f ca="1"/>
        <v>91.56</v>
      </c>
      <c r="D355" vm="421">
        <f ca="1"/>
        <v>89.52</v>
      </c>
      <c r="E355" vm="1476">
        <f ca="1"/>
        <v>90.92</v>
      </c>
    </row>
    <row r="356" spans="1:5" x14ac:dyDescent="0.3">
      <c r="A356" vm="1477">
        <f ca="1"/>
        <v>45203</v>
      </c>
      <c r="B356" vm="1478">
        <f ca="1"/>
        <v>90.96</v>
      </c>
      <c r="C356" vm="1479">
        <f ca="1"/>
        <v>91.19</v>
      </c>
      <c r="D356" vm="1324">
        <f ca="1"/>
        <v>85.73</v>
      </c>
      <c r="E356" vm="775">
        <f ca="1"/>
        <v>85.81</v>
      </c>
    </row>
    <row r="357" spans="1:5" x14ac:dyDescent="0.3">
      <c r="A357" vm="1480">
        <f ca="1"/>
        <v>45204</v>
      </c>
      <c r="B357" vm="1481">
        <f ca="1"/>
        <v>86.03</v>
      </c>
      <c r="C357" vm="425">
        <f ca="1"/>
        <v>86.51</v>
      </c>
      <c r="D357" vm="878">
        <f ca="1"/>
        <v>83.84</v>
      </c>
      <c r="E357" vm="1482">
        <f ca="1"/>
        <v>84.07</v>
      </c>
    </row>
    <row r="358" spans="1:5" x14ac:dyDescent="0.3">
      <c r="A358" vm="1483">
        <f ca="1"/>
        <v>45205</v>
      </c>
      <c r="B358" vm="1484">
        <f ca="1"/>
        <v>84.22</v>
      </c>
      <c r="C358" vm="1485">
        <f ca="1"/>
        <v>84.96</v>
      </c>
      <c r="D358" vm="1362">
        <f ca="1"/>
        <v>83.45</v>
      </c>
      <c r="E358" vm="1486">
        <f ca="1"/>
        <v>84.58</v>
      </c>
    </row>
    <row r="359" spans="1:5" x14ac:dyDescent="0.3">
      <c r="A359" vm="1487">
        <f ca="1"/>
        <v>45208</v>
      </c>
      <c r="B359" vm="1341">
        <f ca="1"/>
        <v>86.35</v>
      </c>
      <c r="C359" vm="1488">
        <f ca="1"/>
        <v>89</v>
      </c>
      <c r="D359" vm="1489">
        <f ca="1"/>
        <v>86.07</v>
      </c>
      <c r="E359" vm="1490">
        <f ca="1"/>
        <v>88.15</v>
      </c>
    </row>
    <row r="360" spans="1:5" x14ac:dyDescent="0.3">
      <c r="A360" vm="1491">
        <f ca="1"/>
        <v>45209</v>
      </c>
      <c r="B360" vm="1492">
        <f ca="1"/>
        <v>88.11</v>
      </c>
      <c r="C360" vm="1493">
        <f ca="1"/>
        <v>88.47</v>
      </c>
      <c r="D360" vm="1494">
        <f ca="1"/>
        <v>86.92</v>
      </c>
      <c r="E360" vm="577">
        <f ca="1"/>
        <v>87.65</v>
      </c>
    </row>
    <row r="361" spans="1:5" x14ac:dyDescent="0.3">
      <c r="A361" vm="1495">
        <f ca="1"/>
        <v>45210</v>
      </c>
      <c r="B361" vm="1496">
        <f ca="1"/>
        <v>87.75</v>
      </c>
      <c r="C361" vm="1497">
        <f ca="1"/>
        <v>88.25</v>
      </c>
      <c r="D361" vm="1387">
        <f ca="1"/>
        <v>85.22</v>
      </c>
      <c r="E361" vm="602">
        <f ca="1"/>
        <v>85.82</v>
      </c>
    </row>
    <row r="362" spans="1:5" x14ac:dyDescent="0.3">
      <c r="A362" vm="1498">
        <f ca="1"/>
        <v>45211</v>
      </c>
      <c r="B362" vm="1499">
        <f ca="1"/>
        <v>85.6</v>
      </c>
      <c r="C362" vm="345">
        <f ca="1"/>
        <v>87.64</v>
      </c>
      <c r="D362" vm="1500">
        <f ca="1"/>
        <v>85.18</v>
      </c>
      <c r="E362" vm="597">
        <f ca="1"/>
        <v>86</v>
      </c>
    </row>
    <row r="363" spans="1:5" x14ac:dyDescent="0.3">
      <c r="A363" vm="1501">
        <f ca="1"/>
        <v>45212</v>
      </c>
      <c r="B363" vm="1502">
        <f ca="1"/>
        <v>86.41</v>
      </c>
      <c r="C363" vm="1503">
        <f ca="1"/>
        <v>90.99</v>
      </c>
      <c r="D363" vm="702">
        <f ca="1"/>
        <v>86.28</v>
      </c>
      <c r="E363" vm="1504">
        <f ca="1"/>
        <v>90.89</v>
      </c>
    </row>
    <row r="364" spans="1:5" x14ac:dyDescent="0.3">
      <c r="A364" vm="1505">
        <f ca="1"/>
        <v>45215</v>
      </c>
      <c r="B364" vm="1476">
        <f ca="1"/>
        <v>90.92</v>
      </c>
      <c r="C364" vm="1506">
        <f ca="1"/>
        <v>91.39</v>
      </c>
      <c r="D364" vm="411">
        <f ca="1"/>
        <v>89.49</v>
      </c>
      <c r="E364" vm="1507">
        <f ca="1"/>
        <v>89.65</v>
      </c>
    </row>
    <row r="365" spans="1:5" x14ac:dyDescent="0.3">
      <c r="A365" vm="1508">
        <f ca="1"/>
        <v>45216</v>
      </c>
      <c r="B365" vm="1509">
        <f ca="1"/>
        <v>90.06</v>
      </c>
      <c r="C365" vm="1476">
        <f ca="1"/>
        <v>90.92</v>
      </c>
      <c r="D365" vm="1510">
        <f ca="1"/>
        <v>88.87</v>
      </c>
      <c r="E365" vm="1511">
        <f ca="1"/>
        <v>89.9</v>
      </c>
    </row>
    <row r="366" spans="1:5" x14ac:dyDescent="0.3">
      <c r="A366" vm="1512">
        <f ca="1"/>
        <v>45217</v>
      </c>
      <c r="B366" vm="434">
        <f ca="1"/>
        <v>90.9</v>
      </c>
      <c r="C366" vm="1513">
        <f ca="1"/>
        <v>92.97</v>
      </c>
      <c r="D366" vm="1412">
        <f ca="1"/>
        <v>90.6</v>
      </c>
      <c r="E366" vm="1514">
        <f ca="1"/>
        <v>91.5</v>
      </c>
    </row>
    <row r="367" spans="1:5" x14ac:dyDescent="0.3">
      <c r="A367" vm="1515">
        <f ca="1"/>
        <v>45218</v>
      </c>
      <c r="B367" vm="1516">
        <f ca="1"/>
        <v>91.34</v>
      </c>
      <c r="C367" vm="1517">
        <f ca="1"/>
        <v>93.47</v>
      </c>
      <c r="D367" vm="1518">
        <f ca="1"/>
        <v>89.53</v>
      </c>
      <c r="E367" vm="487">
        <f ca="1"/>
        <v>92.38</v>
      </c>
    </row>
    <row r="368" spans="1:5" x14ac:dyDescent="0.3">
      <c r="A368" vm="1519">
        <f ca="1"/>
        <v>45219</v>
      </c>
      <c r="B368" vm="1520">
        <f ca="1"/>
        <v>92.85</v>
      </c>
      <c r="C368" vm="341">
        <f ca="1"/>
        <v>93.79</v>
      </c>
      <c r="D368" vm="561">
        <f ca="1"/>
        <v>91.68</v>
      </c>
      <c r="E368" vm="1521">
        <f ca="1"/>
        <v>92.16</v>
      </c>
    </row>
    <row r="369" spans="1:5" x14ac:dyDescent="0.3">
      <c r="A369" vm="1522">
        <f ca="1"/>
        <v>45222</v>
      </c>
      <c r="B369" vm="1523">
        <f ca="1"/>
        <v>92.13</v>
      </c>
      <c r="C369" vm="1524">
        <f ca="1"/>
        <v>92.43</v>
      </c>
      <c r="D369" vm="1525">
        <f ca="1"/>
        <v>89.62</v>
      </c>
      <c r="E369" vm="346">
        <f ca="1"/>
        <v>89.83</v>
      </c>
    </row>
    <row r="370" spans="1:5" x14ac:dyDescent="0.3">
      <c r="A370" vm="1526">
        <f ca="1"/>
        <v>45223</v>
      </c>
      <c r="B370" vm="396">
        <f ca="1"/>
        <v>90.35</v>
      </c>
      <c r="C370" vm="1527">
        <f ca="1"/>
        <v>90.67</v>
      </c>
      <c r="D370" vm="1351">
        <f ca="1"/>
        <v>87.35</v>
      </c>
      <c r="E370" vm="1407">
        <f ca="1"/>
        <v>88.07</v>
      </c>
    </row>
    <row r="371" spans="1:5" x14ac:dyDescent="0.3">
      <c r="A371" vm="1528">
        <f ca="1"/>
        <v>45224</v>
      </c>
      <c r="B371" vm="1529">
        <f ca="1"/>
        <v>88.14</v>
      </c>
      <c r="C371" vm="1530">
        <f ca="1"/>
        <v>90.34</v>
      </c>
      <c r="D371" vm="1358">
        <f ca="1"/>
        <v>86.67</v>
      </c>
      <c r="E371" vm="1531">
        <f ca="1"/>
        <v>90.13</v>
      </c>
    </row>
    <row r="372" spans="1:5" x14ac:dyDescent="0.3">
      <c r="A372" vm="1532">
        <f ca="1"/>
        <v>45225</v>
      </c>
      <c r="B372" vm="1408">
        <f ca="1"/>
        <v>90.04</v>
      </c>
      <c r="C372" vm="1533">
        <f ca="1"/>
        <v>90.36</v>
      </c>
      <c r="D372" vm="1347">
        <f ca="1"/>
        <v>87.55</v>
      </c>
      <c r="E372" vm="1534">
        <f ca="1"/>
        <v>87.93</v>
      </c>
    </row>
    <row r="373" spans="1:5" x14ac:dyDescent="0.3">
      <c r="A373" vm="1535">
        <f ca="1"/>
        <v>45226</v>
      </c>
      <c r="B373" vm="1536">
        <f ca="1"/>
        <v>88.26</v>
      </c>
      <c r="C373" vm="1537">
        <f ca="1"/>
        <v>90.74</v>
      </c>
      <c r="D373" vm="754">
        <f ca="1"/>
        <v>87.84</v>
      </c>
      <c r="E373" vm="1538">
        <f ca="1"/>
        <v>90.48</v>
      </c>
    </row>
    <row r="374" spans="1:5" x14ac:dyDescent="0.3">
      <c r="A374" vm="1539">
        <f ca="1"/>
        <v>45229</v>
      </c>
      <c r="B374" vm="1540">
        <f ca="1"/>
        <v>90.3</v>
      </c>
      <c r="C374" vm="1540">
        <f ca="1"/>
        <v>90.3</v>
      </c>
      <c r="D374" vm="1541">
        <f ca="1"/>
        <v>87.22</v>
      </c>
      <c r="E374" vm="417">
        <f ca="1"/>
        <v>87.45</v>
      </c>
    </row>
    <row r="375" spans="1:5" x14ac:dyDescent="0.3">
      <c r="A375" vm="1542">
        <f ca="1"/>
        <v>45230</v>
      </c>
      <c r="B375" vm="768">
        <f ca="1"/>
        <v>87.81</v>
      </c>
      <c r="C375" vm="1543">
        <f ca="1"/>
        <v>88.53</v>
      </c>
      <c r="D375" vm="1544">
        <f ca="1"/>
        <v>87.42</v>
      </c>
      <c r="E375" vm="1545">
        <f ca="1"/>
        <v>87.41</v>
      </c>
    </row>
    <row r="376" spans="1:5" x14ac:dyDescent="0.3">
      <c r="A376" vm="1546">
        <f ca="1"/>
        <v>45231</v>
      </c>
      <c r="B376" vm="1547">
        <f ca="1"/>
        <v>85.45</v>
      </c>
      <c r="C376" vm="1541">
        <f ca="1"/>
        <v>87.22</v>
      </c>
      <c r="D376" vm="1548">
        <f ca="1"/>
        <v>84.56</v>
      </c>
      <c r="E376" vm="1549">
        <f ca="1"/>
        <v>84.63</v>
      </c>
    </row>
    <row r="377" spans="1:5" x14ac:dyDescent="0.3">
      <c r="A377" vm="1550">
        <f ca="1"/>
        <v>45232</v>
      </c>
      <c r="B377" vm="587">
        <f ca="1"/>
        <v>84.94</v>
      </c>
      <c r="C377" vm="1551">
        <f ca="1"/>
        <v>87.03</v>
      </c>
      <c r="D377" vm="740">
        <f ca="1"/>
        <v>84.61</v>
      </c>
      <c r="E377" vm="759">
        <f ca="1"/>
        <v>86.85</v>
      </c>
    </row>
    <row r="378" spans="1:5" x14ac:dyDescent="0.3">
      <c r="A378" vm="1552">
        <f ca="1"/>
        <v>45233</v>
      </c>
      <c r="B378" vm="1008">
        <f ca="1"/>
        <v>86.86</v>
      </c>
      <c r="C378" vm="1553">
        <f ca="1"/>
        <v>87.78</v>
      </c>
      <c r="D378" vm="1554">
        <f ca="1"/>
        <v>84.55</v>
      </c>
      <c r="E378" vm="1359">
        <f ca="1"/>
        <v>84.89</v>
      </c>
    </row>
    <row r="379" spans="1:5" x14ac:dyDescent="0.3">
      <c r="A379" vm="1555">
        <f ca="1"/>
        <v>45236</v>
      </c>
      <c r="B379" vm="1556">
        <f ca="1"/>
        <v>85.39</v>
      </c>
      <c r="C379" vm="1557">
        <f ca="1"/>
        <v>86.45</v>
      </c>
      <c r="D379" vm="1322">
        <f ca="1"/>
        <v>84.91</v>
      </c>
      <c r="E379" vm="1500">
        <f ca="1"/>
        <v>85.18</v>
      </c>
    </row>
    <row r="380" spans="1:5" x14ac:dyDescent="0.3">
      <c r="A380" vm="1558">
        <f ca="1"/>
        <v>45237</v>
      </c>
      <c r="B380" vm="1559">
        <f ca="1"/>
        <v>85.23</v>
      </c>
      <c r="C380" vm="1331">
        <f ca="1"/>
        <v>85.32</v>
      </c>
      <c r="D380" vm="1560">
        <f ca="1"/>
        <v>81.42</v>
      </c>
      <c r="E380" vm="1279">
        <f ca="1"/>
        <v>81.61</v>
      </c>
    </row>
    <row r="381" spans="1:5" x14ac:dyDescent="0.3">
      <c r="A381" vm="1561">
        <f ca="1"/>
        <v>45238</v>
      </c>
      <c r="B381" vm="902">
        <f ca="1"/>
        <v>81.47</v>
      </c>
      <c r="C381" vm="1562">
        <f ca="1"/>
        <v>81.93</v>
      </c>
      <c r="D381" vm="1563">
        <f ca="1"/>
        <v>79.16</v>
      </c>
      <c r="E381" vm="1048">
        <f ca="1"/>
        <v>79.540000000000006</v>
      </c>
    </row>
    <row r="382" spans="1:5" x14ac:dyDescent="0.3">
      <c r="A382" vm="1564">
        <f ca="1"/>
        <v>45239</v>
      </c>
      <c r="B382" vm="1056">
        <f ca="1"/>
        <v>79.78</v>
      </c>
      <c r="C382" vm="1565">
        <f ca="1"/>
        <v>81.48</v>
      </c>
      <c r="D382" vm="1566">
        <f ca="1"/>
        <v>79.44</v>
      </c>
      <c r="E382" vm="1286">
        <f ca="1"/>
        <v>80.010000000000005</v>
      </c>
    </row>
    <row r="383" spans="1:5" x14ac:dyDescent="0.3">
      <c r="A383" vm="1567">
        <f ca="1"/>
        <v>45240</v>
      </c>
      <c r="B383" vm="964">
        <f ca="1"/>
        <v>79.7</v>
      </c>
      <c r="C383" vm="894">
        <f ca="1"/>
        <v>82.05</v>
      </c>
      <c r="D383" vm="1568">
        <f ca="1"/>
        <v>79.61</v>
      </c>
      <c r="E383" vm="1569">
        <f ca="1"/>
        <v>81.430000000000007</v>
      </c>
    </row>
    <row r="384" spans="1:5" x14ac:dyDescent="0.3">
      <c r="A384" vm="1570">
        <f ca="1"/>
        <v>45243</v>
      </c>
      <c r="B384" vm="1571">
        <f ca="1"/>
        <v>81.45</v>
      </c>
      <c r="C384" vm="1572">
        <f ca="1"/>
        <v>82.82</v>
      </c>
      <c r="D384" vm="1573">
        <f ca="1"/>
        <v>80.41</v>
      </c>
      <c r="E384" vm="1574">
        <f ca="1"/>
        <v>82.52</v>
      </c>
    </row>
    <row r="385" spans="1:5" x14ac:dyDescent="0.3">
      <c r="A385" vm="1575">
        <f ca="1"/>
        <v>45244</v>
      </c>
      <c r="B385" vm="859">
        <f ca="1"/>
        <v>82.75</v>
      </c>
      <c r="C385" vm="1576">
        <f ca="1"/>
        <v>83.97</v>
      </c>
      <c r="D385" vm="894">
        <f ca="1"/>
        <v>82.05</v>
      </c>
      <c r="E385" vm="1577">
        <f ca="1"/>
        <v>82.47</v>
      </c>
    </row>
    <row r="386" spans="1:5" x14ac:dyDescent="0.3">
      <c r="A386" vm="1578">
        <f ca="1"/>
        <v>45245</v>
      </c>
      <c r="B386" vm="741">
        <f ca="1"/>
        <v>82.38</v>
      </c>
      <c r="C386" vm="849">
        <f ca="1"/>
        <v>83.01</v>
      </c>
      <c r="D386" vm="1579">
        <f ca="1"/>
        <v>80.8</v>
      </c>
      <c r="E386" vm="815">
        <f ca="1"/>
        <v>81.180000000000007</v>
      </c>
    </row>
    <row r="387" spans="1:5" x14ac:dyDescent="0.3">
      <c r="A387" vm="1580">
        <f ca="1"/>
        <v>45246</v>
      </c>
      <c r="B387" vm="1581">
        <f ca="1"/>
        <v>80.94</v>
      </c>
      <c r="C387" vm="1582">
        <f ca="1"/>
        <v>81.16</v>
      </c>
      <c r="D387" vm="1583">
        <f ca="1"/>
        <v>76.599999999999994</v>
      </c>
      <c r="E387" vm="1074">
        <f ca="1"/>
        <v>77.42</v>
      </c>
    </row>
    <row r="388" spans="1:5" x14ac:dyDescent="0.3">
      <c r="A388" vm="1584">
        <f ca="1"/>
        <v>45247</v>
      </c>
      <c r="B388" vm="1585">
        <f ca="1"/>
        <v>77.53</v>
      </c>
      <c r="C388" vm="1579">
        <f ca="1"/>
        <v>80.8</v>
      </c>
      <c r="D388" vm="1586">
        <f ca="1"/>
        <v>77.28</v>
      </c>
      <c r="E388" vm="1587">
        <f ca="1"/>
        <v>80.61</v>
      </c>
    </row>
    <row r="389" spans="1:5" x14ac:dyDescent="0.3">
      <c r="A389" vm="1588">
        <f ca="1"/>
        <v>45250</v>
      </c>
      <c r="B389" vm="858">
        <f ca="1"/>
        <v>80.47</v>
      </c>
      <c r="C389" vm="1589">
        <f ca="1"/>
        <v>82.93</v>
      </c>
      <c r="D389" vm="1590">
        <f ca="1"/>
        <v>79.97</v>
      </c>
      <c r="E389" vm="575">
        <f ca="1"/>
        <v>82.32</v>
      </c>
    </row>
    <row r="390" spans="1:5" x14ac:dyDescent="0.3">
      <c r="A390" vm="1591">
        <f ca="1"/>
        <v>45251</v>
      </c>
      <c r="B390" vm="1592">
        <f ca="1"/>
        <v>82.13</v>
      </c>
      <c r="C390" vm="1593">
        <f ca="1"/>
        <v>82.53</v>
      </c>
      <c r="D390" vm="899">
        <f ca="1"/>
        <v>81.41</v>
      </c>
      <c r="E390" vm="869">
        <f ca="1"/>
        <v>82.45</v>
      </c>
    </row>
    <row r="391" spans="1:5" x14ac:dyDescent="0.3">
      <c r="A391" vm="1594">
        <f ca="1"/>
        <v>45252</v>
      </c>
      <c r="B391" vm="1595">
        <f ca="1"/>
        <v>82.4</v>
      </c>
      <c r="C391" vm="1596">
        <f ca="1"/>
        <v>82.63</v>
      </c>
      <c r="D391" vm="1597">
        <f ca="1"/>
        <v>78.41</v>
      </c>
      <c r="E391" vm="1598">
        <f ca="1"/>
        <v>81.96</v>
      </c>
    </row>
    <row r="392" spans="1:5" x14ac:dyDescent="0.3">
      <c r="A392" vm="1599">
        <f ca="1"/>
        <v>45253</v>
      </c>
      <c r="B392" t="e" vm="12">
        <f ca="1"/>
        <v>#N/A</v>
      </c>
      <c r="C392" t="e" vm="12">
        <f ca="1"/>
        <v>#N/A</v>
      </c>
      <c r="D392" t="e" vm="12">
        <f ca="1"/>
        <v>#N/A</v>
      </c>
      <c r="E392" t="e" vm="12">
        <f ca="1"/>
        <v>#N/A</v>
      </c>
    </row>
    <row r="393" spans="1:5" x14ac:dyDescent="0.3">
      <c r="A393" vm="1600">
        <f ca="1"/>
        <v>45254</v>
      </c>
      <c r="B393" vm="1601">
        <f ca="1"/>
        <v>81.63</v>
      </c>
      <c r="C393" vm="676">
        <f ca="1"/>
        <v>82.2</v>
      </c>
      <c r="D393" vm="1050">
        <f ca="1"/>
        <v>80.180000000000007</v>
      </c>
      <c r="E393" vm="1602">
        <f ca="1"/>
        <v>80.58</v>
      </c>
    </row>
    <row r="394" spans="1:5" x14ac:dyDescent="0.3">
      <c r="A394" vm="1603">
        <f ca="1"/>
        <v>45257</v>
      </c>
      <c r="B394" vm="650">
        <f ca="1"/>
        <v>80.34</v>
      </c>
      <c r="C394" vm="815">
        <f ca="1"/>
        <v>81.180000000000007</v>
      </c>
      <c r="D394" vm="1604">
        <f ca="1"/>
        <v>79.13</v>
      </c>
      <c r="E394" vm="1605">
        <f ca="1"/>
        <v>79.98</v>
      </c>
    </row>
    <row r="395" spans="1:5" x14ac:dyDescent="0.3">
      <c r="A395" vm="1606">
        <f ca="1"/>
        <v>45258</v>
      </c>
      <c r="B395" vm="1607">
        <f ca="1"/>
        <v>80.14</v>
      </c>
      <c r="C395" vm="1608">
        <f ca="1"/>
        <v>82.18</v>
      </c>
      <c r="D395" vm="1609">
        <f ca="1"/>
        <v>79.83</v>
      </c>
      <c r="E395" vm="1610">
        <f ca="1"/>
        <v>81.680000000000007</v>
      </c>
    </row>
    <row r="396" spans="1:5" x14ac:dyDescent="0.3">
      <c r="A396" vm="1611">
        <f ca="1"/>
        <v>45259</v>
      </c>
      <c r="B396" vm="1562">
        <f ca="1"/>
        <v>81.93</v>
      </c>
      <c r="C396" vm="1612">
        <f ca="1"/>
        <v>83.24</v>
      </c>
      <c r="D396" vm="1613">
        <f ca="1"/>
        <v>80.959999999999994</v>
      </c>
      <c r="E396" vm="875">
        <f ca="1"/>
        <v>83.1</v>
      </c>
    </row>
    <row r="397" spans="1:5" x14ac:dyDescent="0.3">
      <c r="A397" vm="1614">
        <f ca="1"/>
        <v>45260</v>
      </c>
      <c r="B397" vm="1615">
        <f ca="1"/>
        <v>82.87</v>
      </c>
      <c r="C397" vm="1616">
        <f ca="1"/>
        <v>84.71</v>
      </c>
      <c r="D397" vm="713">
        <f ca="1"/>
        <v>82.67</v>
      </c>
      <c r="E397" vm="1301">
        <f ca="1"/>
        <v>82.83</v>
      </c>
    </row>
    <row r="398" spans="1:5" x14ac:dyDescent="0.3">
      <c r="A398" vm="1617">
        <f ca="1"/>
        <v>45261</v>
      </c>
      <c r="B398" vm="858">
        <f ca="1"/>
        <v>80.47</v>
      </c>
      <c r="C398" vm="1618">
        <f ca="1"/>
        <v>81.52</v>
      </c>
      <c r="D398" vm="1619">
        <f ca="1"/>
        <v>78.75</v>
      </c>
      <c r="E398" vm="1620">
        <f ca="1"/>
        <v>78.88</v>
      </c>
    </row>
    <row r="399" spans="1:5" x14ac:dyDescent="0.3">
      <c r="A399" vm="1621">
        <f ca="1"/>
        <v>45264</v>
      </c>
      <c r="B399" vm="1622">
        <f ca="1"/>
        <v>79.430000000000007</v>
      </c>
      <c r="C399" vm="1297">
        <f ca="1"/>
        <v>79.66</v>
      </c>
      <c r="D399" vm="1623">
        <f ca="1"/>
        <v>77.52</v>
      </c>
      <c r="E399" vm="1624">
        <f ca="1"/>
        <v>78.03</v>
      </c>
    </row>
    <row r="400" spans="1:5" x14ac:dyDescent="0.3">
      <c r="A400" vm="1625">
        <f ca="1"/>
        <v>45265</v>
      </c>
      <c r="B400" vm="1287">
        <f ca="1"/>
        <v>78.2</v>
      </c>
      <c r="C400" vm="974">
        <f ca="1"/>
        <v>79.069999999999993</v>
      </c>
      <c r="D400" vm="1113">
        <f ca="1"/>
        <v>76.98</v>
      </c>
      <c r="E400" vm="1626">
        <f ca="1"/>
        <v>77.2</v>
      </c>
    </row>
    <row r="401" spans="1:5" x14ac:dyDescent="0.3">
      <c r="A401" vm="1627">
        <f ca="1"/>
        <v>45266</v>
      </c>
      <c r="B401" vm="1628">
        <f ca="1"/>
        <v>77.06</v>
      </c>
      <c r="C401" vm="1629">
        <f ca="1"/>
        <v>77.63</v>
      </c>
      <c r="D401" vm="1630">
        <f ca="1"/>
        <v>74.11</v>
      </c>
      <c r="E401" vm="1631">
        <f ca="1"/>
        <v>74.3</v>
      </c>
    </row>
    <row r="402" spans="1:5" x14ac:dyDescent="0.3">
      <c r="A402" vm="1632">
        <f ca="1"/>
        <v>45267</v>
      </c>
      <c r="B402" vm="1631">
        <f ca="1"/>
        <v>74.3</v>
      </c>
      <c r="C402" vm="1114">
        <f ca="1"/>
        <v>75.48</v>
      </c>
      <c r="D402" vm="1633">
        <f ca="1"/>
        <v>73.61</v>
      </c>
      <c r="E402" vm="1634">
        <f ca="1"/>
        <v>74.05</v>
      </c>
    </row>
    <row r="403" spans="1:5" x14ac:dyDescent="0.3">
      <c r="A403" vm="1635">
        <f ca="1"/>
        <v>45268</v>
      </c>
      <c r="B403" vm="1104">
        <f ca="1"/>
        <v>74.5</v>
      </c>
      <c r="C403" vm="1636">
        <f ca="1"/>
        <v>76.36</v>
      </c>
      <c r="D403" vm="1228">
        <f ca="1"/>
        <v>74.23</v>
      </c>
      <c r="E403" vm="1093">
        <f ca="1"/>
        <v>75.84</v>
      </c>
    </row>
    <row r="404" spans="1:5" x14ac:dyDescent="0.3">
      <c r="A404" vm="1637">
        <f ca="1"/>
        <v>45271</v>
      </c>
      <c r="B404" vm="1638">
        <f ca="1"/>
        <v>75.66</v>
      </c>
      <c r="C404" vm="1257">
        <f ca="1"/>
        <v>76.48</v>
      </c>
      <c r="D404" vm="1639">
        <f ca="1"/>
        <v>75</v>
      </c>
      <c r="E404" vm="1640">
        <f ca="1"/>
        <v>76.03</v>
      </c>
    </row>
    <row r="405" spans="1:5" x14ac:dyDescent="0.3">
      <c r="A405" vm="1641">
        <f ca="1"/>
        <v>45272</v>
      </c>
      <c r="B405" vm="1642">
        <f ca="1"/>
        <v>76.25</v>
      </c>
      <c r="C405" vm="1087">
        <f ca="1"/>
        <v>76.64</v>
      </c>
      <c r="D405" vm="1643">
        <f ca="1"/>
        <v>72.86</v>
      </c>
      <c r="E405" vm="1644">
        <f ca="1"/>
        <v>73.239999999999995</v>
      </c>
    </row>
    <row r="406" spans="1:5" x14ac:dyDescent="0.3">
      <c r="A406" vm="1645">
        <f ca="1"/>
        <v>45273</v>
      </c>
      <c r="B406" vm="1646">
        <f ca="1"/>
        <v>73.36</v>
      </c>
      <c r="C406" vm="921">
        <f ca="1"/>
        <v>74.7</v>
      </c>
      <c r="D406" vm="1647">
        <f ca="1"/>
        <v>72.3</v>
      </c>
      <c r="E406" vm="1648">
        <f ca="1"/>
        <v>74.260000000000005</v>
      </c>
    </row>
    <row r="407" spans="1:5" x14ac:dyDescent="0.3">
      <c r="A407" vm="1649">
        <f ca="1"/>
        <v>45274</v>
      </c>
      <c r="B407" vm="1650">
        <f ca="1"/>
        <v>74.709999999999994</v>
      </c>
      <c r="C407" vm="1139">
        <f ca="1"/>
        <v>77.349999999999994</v>
      </c>
      <c r="D407" vm="1651">
        <f ca="1"/>
        <v>74.459999999999994</v>
      </c>
      <c r="E407" vm="1205">
        <f ca="1"/>
        <v>76.61</v>
      </c>
    </row>
    <row r="408" spans="1:5" x14ac:dyDescent="0.3">
      <c r="A408" vm="1652">
        <f ca="1"/>
        <v>45275</v>
      </c>
      <c r="B408" vm="1583">
        <f ca="1"/>
        <v>76.599999999999994</v>
      </c>
      <c r="C408" vm="1653">
        <f ca="1"/>
        <v>77.22</v>
      </c>
      <c r="D408" vm="1654">
        <f ca="1"/>
        <v>75.33</v>
      </c>
      <c r="E408" vm="1182">
        <f ca="1"/>
        <v>76.55</v>
      </c>
    </row>
    <row r="409" spans="1:5" x14ac:dyDescent="0.3">
      <c r="A409" vm="1655">
        <f ca="1"/>
        <v>45278</v>
      </c>
      <c r="B409" vm="1656">
        <f ca="1"/>
        <v>76.97</v>
      </c>
      <c r="C409" vm="1657">
        <f ca="1"/>
        <v>79.510000000000005</v>
      </c>
      <c r="D409" vm="1658">
        <f ca="1"/>
        <v>75.78</v>
      </c>
      <c r="E409" vm="965">
        <f ca="1"/>
        <v>77.95</v>
      </c>
    </row>
    <row r="410" spans="1:5" x14ac:dyDescent="0.3">
      <c r="A410" vm="1659">
        <f ca="1"/>
        <v>45279</v>
      </c>
      <c r="B410" vm="724">
        <f ca="1"/>
        <v>78.05</v>
      </c>
      <c r="C410" vm="1297">
        <f ca="1"/>
        <v>79.66</v>
      </c>
      <c r="D410" vm="944">
        <f ca="1"/>
        <v>77.430000000000007</v>
      </c>
      <c r="E410" vm="1660">
        <f ca="1"/>
        <v>79.23</v>
      </c>
    </row>
    <row r="411" spans="1:5" x14ac:dyDescent="0.3">
      <c r="A411" vm="1661">
        <f ca="1"/>
        <v>45280</v>
      </c>
      <c r="B411" vm="1662">
        <f ca="1"/>
        <v>79.25</v>
      </c>
      <c r="C411" vm="1587">
        <f ca="1"/>
        <v>80.61</v>
      </c>
      <c r="D411" vm="1663">
        <f ca="1"/>
        <v>79.08</v>
      </c>
      <c r="E411" vm="964">
        <f ca="1"/>
        <v>79.7</v>
      </c>
    </row>
    <row r="412" spans="1:5" x14ac:dyDescent="0.3">
      <c r="A412" vm="1664">
        <f ca="1"/>
        <v>45281</v>
      </c>
      <c r="B412" vm="1665">
        <f ca="1"/>
        <v>79.14</v>
      </c>
      <c r="C412" vm="1666">
        <f ca="1"/>
        <v>80.12</v>
      </c>
      <c r="D412" vm="969">
        <f ca="1"/>
        <v>77.849999999999994</v>
      </c>
      <c r="E412" vm="1667">
        <f ca="1"/>
        <v>79.39</v>
      </c>
    </row>
    <row r="413" spans="1:5" x14ac:dyDescent="0.3">
      <c r="A413" vm="1668">
        <f ca="1"/>
        <v>45282</v>
      </c>
      <c r="B413" vm="1566">
        <f ca="1"/>
        <v>79.44</v>
      </c>
      <c r="C413" vm="1669">
        <f ca="1"/>
        <v>80.37</v>
      </c>
      <c r="D413" vm="1670">
        <f ca="1"/>
        <v>78.83</v>
      </c>
      <c r="E413" vm="974">
        <f ca="1"/>
        <v>79.069999999999993</v>
      </c>
    </row>
    <row r="414" spans="1:5" x14ac:dyDescent="0.3">
      <c r="A414" vm="1671">
        <f ca="1"/>
        <v>45285</v>
      </c>
      <c r="B414" t="e" vm="12">
        <f ca="1"/>
        <v>#N/A</v>
      </c>
      <c r="C414" t="e" vm="12">
        <f ca="1"/>
        <v>#N/A</v>
      </c>
      <c r="D414" t="e" vm="12">
        <f ca="1"/>
        <v>#N/A</v>
      </c>
      <c r="E414" t="e" vm="12">
        <f ca="1"/>
        <v>#N/A</v>
      </c>
    </row>
    <row r="415" spans="1:5" x14ac:dyDescent="0.3">
      <c r="A415" vm="1672">
        <f ca="1"/>
        <v>45286</v>
      </c>
      <c r="B415" vm="1673">
        <f ca="1"/>
        <v>79.19</v>
      </c>
      <c r="C415" vm="1674">
        <f ca="1"/>
        <v>81.709999999999994</v>
      </c>
      <c r="D415" vm="722">
        <f ca="1"/>
        <v>78.81</v>
      </c>
      <c r="E415" vm="864">
        <f ca="1"/>
        <v>81.069999999999993</v>
      </c>
    </row>
    <row r="416" spans="1:5" x14ac:dyDescent="0.3">
      <c r="A416" vm="1675">
        <f ca="1"/>
        <v>45287</v>
      </c>
      <c r="B416" vm="1676">
        <f ca="1"/>
        <v>80.739999999999995</v>
      </c>
      <c r="C416" vm="1677">
        <f ca="1"/>
        <v>81.319999999999993</v>
      </c>
      <c r="D416" vm="1678">
        <f ca="1"/>
        <v>79.489999999999995</v>
      </c>
      <c r="E416" vm="730">
        <f ca="1"/>
        <v>79.650000000000006</v>
      </c>
    </row>
    <row r="417" spans="1:5" x14ac:dyDescent="0.3">
      <c r="A417" vm="1679">
        <f ca="1"/>
        <v>45288</v>
      </c>
      <c r="B417" vm="1680">
        <f ca="1"/>
        <v>79.84</v>
      </c>
      <c r="C417" vm="718">
        <f ca="1"/>
        <v>79.959999999999994</v>
      </c>
      <c r="D417" vm="729">
        <f ca="1"/>
        <v>78.34</v>
      </c>
      <c r="E417" vm="1681">
        <f ca="1"/>
        <v>78.39</v>
      </c>
    </row>
    <row r="418" spans="1:5" x14ac:dyDescent="0.3">
      <c r="A418" vm="1682">
        <f ca="1"/>
        <v>45289</v>
      </c>
      <c r="B418" vm="1074">
        <f ca="1"/>
        <v>77.42</v>
      </c>
      <c r="C418" vm="1047">
        <f ca="1"/>
        <v>77.97</v>
      </c>
      <c r="D418" vm="1683">
        <f ca="1"/>
        <v>76.75</v>
      </c>
      <c r="E418" vm="1131">
        <f ca="1"/>
        <v>77.040000000000006</v>
      </c>
    </row>
    <row r="419" spans="1:5" x14ac:dyDescent="0.3">
      <c r="A419" vm="1684">
        <f ca="1"/>
        <v>45292</v>
      </c>
      <c r="B419" t="e" vm="12">
        <f ca="1"/>
        <v>#N/A</v>
      </c>
      <c r="C419" t="e" vm="12">
        <f ca="1"/>
        <v>#N/A</v>
      </c>
      <c r="D419" t="e" vm="12">
        <f ca="1"/>
        <v>#N/A</v>
      </c>
      <c r="E419" t="e" vm="12">
        <f ca="1"/>
        <v>#N/A</v>
      </c>
    </row>
    <row r="420" spans="1:5" x14ac:dyDescent="0.3">
      <c r="A420" vm="1685">
        <f ca="1"/>
        <v>45293</v>
      </c>
      <c r="B420" vm="1686">
        <f ca="1"/>
        <v>77.209999999999994</v>
      </c>
      <c r="C420" vm="662">
        <f ca="1"/>
        <v>79.040000000000006</v>
      </c>
      <c r="D420" vm="1687">
        <f ca="1"/>
        <v>75.599999999999994</v>
      </c>
      <c r="E420" vm="1688">
        <f ca="1"/>
        <v>75.89</v>
      </c>
    </row>
    <row r="421" spans="1:5" x14ac:dyDescent="0.3">
      <c r="A421" vm="1689">
        <f ca="1"/>
        <v>45294</v>
      </c>
      <c r="B421" vm="1122">
        <f ca="1"/>
        <v>75.989999999999995</v>
      </c>
      <c r="C421" vm="1294">
        <f ca="1"/>
        <v>78.67</v>
      </c>
      <c r="D421" vm="1184">
        <f ca="1"/>
        <v>74.790000000000006</v>
      </c>
      <c r="E421" vm="1690">
        <f ca="1"/>
        <v>78.25</v>
      </c>
    </row>
    <row r="422" spans="1:5" x14ac:dyDescent="0.3">
      <c r="A422" vm="1691">
        <f ca="1"/>
        <v>45295</v>
      </c>
      <c r="B422" vm="1135">
        <f ca="1"/>
        <v>78.5</v>
      </c>
      <c r="C422" vm="1269">
        <f ca="1"/>
        <v>79.400000000000006</v>
      </c>
      <c r="D422" vm="1692">
        <f ca="1"/>
        <v>76.5</v>
      </c>
      <c r="E422" vm="1129">
        <f ca="1"/>
        <v>77.59</v>
      </c>
    </row>
    <row r="423" spans="1:5" x14ac:dyDescent="0.3">
      <c r="A423" vm="1693">
        <f ca="1"/>
        <v>45296</v>
      </c>
      <c r="B423" vm="1083">
        <f ca="1"/>
        <v>77.599999999999994</v>
      </c>
      <c r="C423" vm="1662">
        <f ca="1"/>
        <v>79.25</v>
      </c>
      <c r="D423" vm="1117">
        <f ca="1"/>
        <v>77.5</v>
      </c>
      <c r="E423" vm="1694">
        <f ca="1"/>
        <v>78.760000000000005</v>
      </c>
    </row>
    <row r="424" spans="1:5" x14ac:dyDescent="0.3">
      <c r="A424" vm="1695">
        <f ca="1"/>
        <v>45299</v>
      </c>
      <c r="B424" vm="1696">
        <f ca="1"/>
        <v>78.599999999999994</v>
      </c>
      <c r="C424" vm="1697">
        <f ca="1"/>
        <v>78.95</v>
      </c>
      <c r="D424" vm="642">
        <f ca="1"/>
        <v>75.260000000000005</v>
      </c>
      <c r="E424" vm="1138">
        <f ca="1"/>
        <v>76.12</v>
      </c>
    </row>
    <row r="425" spans="1:5" x14ac:dyDescent="0.3">
      <c r="A425" vm="1698">
        <f ca="1"/>
        <v>45300</v>
      </c>
      <c r="B425" vm="1636">
        <f ca="1"/>
        <v>76.36</v>
      </c>
      <c r="C425" vm="958">
        <f ca="1"/>
        <v>78.180000000000007</v>
      </c>
      <c r="D425" vm="1179">
        <f ca="1"/>
        <v>75.959999999999994</v>
      </c>
      <c r="E425" vm="1129">
        <f ca="1"/>
        <v>77.59</v>
      </c>
    </row>
    <row r="426" spans="1:5" x14ac:dyDescent="0.3">
      <c r="A426" vm="1699">
        <f ca="1"/>
        <v>45301</v>
      </c>
      <c r="B426" vm="1700">
        <f ca="1"/>
        <v>77.459999999999994</v>
      </c>
      <c r="C426" vm="1701">
        <f ca="1"/>
        <v>78.73</v>
      </c>
      <c r="D426" vm="1702">
        <f ca="1"/>
        <v>76.38</v>
      </c>
      <c r="E426" vm="1176">
        <f ca="1"/>
        <v>76.8</v>
      </c>
    </row>
    <row r="427" spans="1:5" x14ac:dyDescent="0.3">
      <c r="A427" vm="1703">
        <f ca="1"/>
        <v>45302</v>
      </c>
      <c r="B427" vm="1203">
        <f ca="1"/>
        <v>76.739999999999995</v>
      </c>
      <c r="C427" vm="664">
        <f ca="1"/>
        <v>79.09</v>
      </c>
      <c r="D427" vm="1250">
        <f ca="1"/>
        <v>76.650000000000006</v>
      </c>
      <c r="E427" vm="1704">
        <f ca="1"/>
        <v>77.41</v>
      </c>
    </row>
    <row r="428" spans="1:5" x14ac:dyDescent="0.3">
      <c r="A428" vm="1705">
        <f ca="1"/>
        <v>45303</v>
      </c>
      <c r="B428" vm="1706">
        <f ca="1"/>
        <v>78.459999999999994</v>
      </c>
      <c r="C428" vm="1676">
        <f ca="1"/>
        <v>80.739999999999995</v>
      </c>
      <c r="D428" vm="1707">
        <f ca="1"/>
        <v>77.930000000000007</v>
      </c>
      <c r="E428" vm="1708">
        <f ca="1"/>
        <v>78.290000000000006</v>
      </c>
    </row>
    <row r="429" spans="1:5" x14ac:dyDescent="0.3">
      <c r="A429" vm="1709">
        <f ca="1"/>
        <v>45306</v>
      </c>
      <c r="B429" t="e" vm="12">
        <f ca="1"/>
        <v>#N/A</v>
      </c>
      <c r="C429" t="e" vm="12">
        <f ca="1"/>
        <v>#N/A</v>
      </c>
      <c r="D429" t="e" vm="12">
        <f ca="1"/>
        <v>#N/A</v>
      </c>
      <c r="E429" t="e" vm="12">
        <f ca="1"/>
        <v>#N/A</v>
      </c>
    </row>
    <row r="430" spans="1:5" x14ac:dyDescent="0.3">
      <c r="A430" vm="1710">
        <f ca="1"/>
        <v>45307</v>
      </c>
      <c r="B430" vm="1711">
        <f ca="1"/>
        <v>78.08</v>
      </c>
      <c r="C430" vm="1667">
        <f ca="1"/>
        <v>79.39</v>
      </c>
      <c r="D430" vm="1712">
        <f ca="1"/>
        <v>76.83</v>
      </c>
      <c r="E430" vm="1708">
        <f ca="1"/>
        <v>78.290000000000006</v>
      </c>
    </row>
    <row r="431" spans="1:5" x14ac:dyDescent="0.3">
      <c r="A431" vm="1713">
        <f ca="1"/>
        <v>45308</v>
      </c>
      <c r="B431" vm="1266">
        <f ca="1"/>
        <v>77.86</v>
      </c>
      <c r="C431" vm="958">
        <f ca="1"/>
        <v>78.180000000000007</v>
      </c>
      <c r="D431" vm="1692">
        <f ca="1"/>
        <v>76.5</v>
      </c>
      <c r="E431" vm="1714">
        <f ca="1"/>
        <v>77.88</v>
      </c>
    </row>
    <row r="432" spans="1:5" x14ac:dyDescent="0.3">
      <c r="A432" vm="1715">
        <f ca="1"/>
        <v>45309</v>
      </c>
      <c r="B432" vm="724">
        <f ca="1"/>
        <v>78.05</v>
      </c>
      <c r="C432" vm="738">
        <f ca="1"/>
        <v>79.3</v>
      </c>
      <c r="D432" vm="1264">
        <f ca="1"/>
        <v>77.34</v>
      </c>
      <c r="E432" vm="1716">
        <f ca="1"/>
        <v>79.099999999999994</v>
      </c>
    </row>
    <row r="433" spans="1:5" x14ac:dyDescent="0.3">
      <c r="A433" vm="1717">
        <f ca="1"/>
        <v>45310</v>
      </c>
      <c r="B433" vm="1718">
        <f ca="1"/>
        <v>78.98</v>
      </c>
      <c r="C433" vm="810">
        <f ca="1"/>
        <v>79.75</v>
      </c>
      <c r="D433" vm="1719">
        <f ca="1"/>
        <v>78.33</v>
      </c>
      <c r="E433" vm="1720">
        <f ca="1"/>
        <v>78.56</v>
      </c>
    </row>
    <row r="434" spans="1:5" x14ac:dyDescent="0.3">
      <c r="A434" vm="1721">
        <f ca="1"/>
        <v>45313</v>
      </c>
      <c r="B434" vm="1722">
        <f ca="1"/>
        <v>78.849999999999994</v>
      </c>
      <c r="C434" vm="1723">
        <f ca="1"/>
        <v>80.55</v>
      </c>
      <c r="D434" vm="1724">
        <f ca="1"/>
        <v>77.819999999999993</v>
      </c>
      <c r="E434" vm="1725">
        <f ca="1"/>
        <v>80.06</v>
      </c>
    </row>
    <row r="435" spans="1:5" x14ac:dyDescent="0.3">
      <c r="A435" vm="1726">
        <f ca="1"/>
        <v>45314</v>
      </c>
      <c r="B435" vm="1727">
        <f ca="1"/>
        <v>79.91</v>
      </c>
      <c r="C435" vm="1728">
        <f ca="1"/>
        <v>80.44</v>
      </c>
      <c r="D435" vm="1729">
        <f ca="1"/>
        <v>78.7</v>
      </c>
      <c r="E435" vm="968">
        <f ca="1"/>
        <v>79.55</v>
      </c>
    </row>
    <row r="436" spans="1:5" x14ac:dyDescent="0.3">
      <c r="A436" vm="1730">
        <f ca="1"/>
        <v>45315</v>
      </c>
      <c r="B436" vm="1731">
        <f ca="1"/>
        <v>79.739999999999995</v>
      </c>
      <c r="C436" vm="1676">
        <f ca="1"/>
        <v>80.739999999999995</v>
      </c>
      <c r="D436" vm="1732">
        <f ca="1"/>
        <v>79.05</v>
      </c>
      <c r="E436" vm="1733">
        <f ca="1"/>
        <v>80.040000000000006</v>
      </c>
    </row>
    <row r="437" spans="1:5" x14ac:dyDescent="0.3">
      <c r="A437" vm="1734">
        <f ca="1"/>
        <v>45316</v>
      </c>
      <c r="B437" vm="1735">
        <f ca="1"/>
        <v>80.31</v>
      </c>
      <c r="C437" vm="1736">
        <f ca="1"/>
        <v>82.56</v>
      </c>
      <c r="D437" vm="1737">
        <f ca="1"/>
        <v>80.069999999999993</v>
      </c>
      <c r="E437" vm="1738">
        <f ca="1"/>
        <v>82.43</v>
      </c>
    </row>
    <row r="438" spans="1:5" x14ac:dyDescent="0.3">
      <c r="A438" vm="1739">
        <f ca="1"/>
        <v>45317</v>
      </c>
      <c r="B438" vm="1740">
        <f ca="1"/>
        <v>82.39</v>
      </c>
      <c r="C438" vm="1366">
        <f ca="1"/>
        <v>83.83</v>
      </c>
      <c r="D438" vm="1677">
        <f ca="1"/>
        <v>81.319999999999993</v>
      </c>
      <c r="E438" vm="1741">
        <f ca="1"/>
        <v>83.55</v>
      </c>
    </row>
    <row r="439" spans="1:5" x14ac:dyDescent="0.3">
      <c r="A439" vm="1742">
        <f ca="1"/>
        <v>45320</v>
      </c>
      <c r="B439" vm="1743">
        <f ca="1"/>
        <v>84.13</v>
      </c>
      <c r="C439" vm="1744">
        <f ca="1"/>
        <v>84.79</v>
      </c>
      <c r="D439" vm="1026">
        <f ca="1"/>
        <v>82.04</v>
      </c>
      <c r="E439" vm="1595">
        <f ca="1"/>
        <v>82.4</v>
      </c>
    </row>
    <row r="440" spans="1:5" x14ac:dyDescent="0.3">
      <c r="A440" vm="1745">
        <f ca="1"/>
        <v>45321</v>
      </c>
      <c r="B440" vm="1746">
        <f ca="1"/>
        <v>82.57</v>
      </c>
      <c r="C440" vm="1747">
        <f ca="1"/>
        <v>83.25</v>
      </c>
      <c r="D440" vm="659">
        <f ca="1"/>
        <v>81.34</v>
      </c>
      <c r="E440" vm="1615">
        <f ca="1"/>
        <v>82.87</v>
      </c>
    </row>
    <row r="441" spans="1:5" x14ac:dyDescent="0.3">
      <c r="A441" vm="1748">
        <f ca="1"/>
        <v>45322</v>
      </c>
      <c r="B441" vm="1749">
        <f ca="1"/>
        <v>82.59</v>
      </c>
      <c r="C441" vm="1750">
        <f ca="1"/>
        <v>82.8</v>
      </c>
      <c r="D441" vm="1751">
        <f ca="1"/>
        <v>81.88</v>
      </c>
      <c r="E441" vm="1674">
        <f ca="1"/>
        <v>81.709999999999994</v>
      </c>
    </row>
    <row r="442" spans="1:5" x14ac:dyDescent="0.3">
      <c r="A442" vm="1752">
        <f ca="1"/>
        <v>45323</v>
      </c>
      <c r="B442" vm="1753">
        <f ca="1"/>
        <v>80.67</v>
      </c>
      <c r="C442" vm="1754">
        <f ca="1"/>
        <v>81.55</v>
      </c>
      <c r="D442" vm="641">
        <f ca="1"/>
        <v>78.58</v>
      </c>
      <c r="E442" vm="1729">
        <f ca="1"/>
        <v>78.7</v>
      </c>
    </row>
    <row r="443" spans="1:5" x14ac:dyDescent="0.3">
      <c r="A443" vm="1755">
        <f ca="1"/>
        <v>45324</v>
      </c>
      <c r="B443" vm="1756">
        <f ca="1"/>
        <v>78.92</v>
      </c>
      <c r="C443" vm="1566">
        <f ca="1"/>
        <v>79.44</v>
      </c>
      <c r="D443" vm="1757">
        <f ca="1"/>
        <v>76.86</v>
      </c>
      <c r="E443" vm="1758">
        <f ca="1"/>
        <v>77.33</v>
      </c>
    </row>
    <row r="444" spans="1:5" x14ac:dyDescent="0.3">
      <c r="A444" vm="1759">
        <f ca="1"/>
        <v>45327</v>
      </c>
      <c r="B444" vm="1177">
        <f ca="1"/>
        <v>77.66</v>
      </c>
      <c r="C444" vm="1719">
        <f ca="1"/>
        <v>78.33</v>
      </c>
      <c r="D444" vm="1760">
        <f ca="1"/>
        <v>76.62</v>
      </c>
      <c r="E444" vm="643">
        <f ca="1"/>
        <v>77.989999999999995</v>
      </c>
    </row>
    <row r="445" spans="1:5" x14ac:dyDescent="0.3">
      <c r="A445" vm="1761">
        <f ca="1"/>
        <v>45328</v>
      </c>
      <c r="B445" vm="1762">
        <f ca="1"/>
        <v>77.94</v>
      </c>
      <c r="C445" vm="974">
        <f ca="1"/>
        <v>79.069999999999993</v>
      </c>
      <c r="D445" vm="1763">
        <f ca="1"/>
        <v>77.650000000000006</v>
      </c>
      <c r="E445" vm="1764">
        <f ca="1"/>
        <v>78.59</v>
      </c>
    </row>
    <row r="446" spans="1:5" x14ac:dyDescent="0.3">
      <c r="A446" vm="1765">
        <f ca="1"/>
        <v>45329</v>
      </c>
      <c r="B446" vm="1729">
        <f ca="1"/>
        <v>78.7</v>
      </c>
      <c r="C446" vm="1766">
        <f ca="1"/>
        <v>79.47</v>
      </c>
      <c r="D446" vm="1262">
        <f ca="1"/>
        <v>78.489999999999995</v>
      </c>
      <c r="E446" vm="959">
        <f ca="1"/>
        <v>79.209999999999994</v>
      </c>
    </row>
    <row r="447" spans="1:5" x14ac:dyDescent="0.3">
      <c r="A447" vm="1767">
        <f ca="1"/>
        <v>45330</v>
      </c>
      <c r="B447" vm="1768">
        <f ca="1"/>
        <v>79.38</v>
      </c>
      <c r="C447" vm="1769">
        <f ca="1"/>
        <v>81.89</v>
      </c>
      <c r="D447" vm="963">
        <f ca="1"/>
        <v>79.02</v>
      </c>
      <c r="E447" vm="1601">
        <f ca="1"/>
        <v>81.63</v>
      </c>
    </row>
    <row r="448" spans="1:5" x14ac:dyDescent="0.3">
      <c r="A448" vm="1770">
        <f ca="1"/>
        <v>45331</v>
      </c>
      <c r="B448" vm="682">
        <f ca="1"/>
        <v>81.73</v>
      </c>
      <c r="C448" vm="1771">
        <f ca="1"/>
        <v>82.46</v>
      </c>
      <c r="D448" vm="657">
        <f ca="1"/>
        <v>81.209999999999994</v>
      </c>
      <c r="E448" vm="598">
        <f ca="1"/>
        <v>82.19</v>
      </c>
    </row>
    <row r="449" spans="1:5" x14ac:dyDescent="0.3">
      <c r="A449" vm="1772">
        <f ca="1"/>
        <v>45334</v>
      </c>
      <c r="B449" vm="660">
        <f ca="1"/>
        <v>81.760000000000005</v>
      </c>
      <c r="C449" vm="860">
        <f ca="1"/>
        <v>82.21</v>
      </c>
      <c r="D449" vm="1773">
        <f ca="1"/>
        <v>80.790000000000006</v>
      </c>
      <c r="E449" vm="1774">
        <f ca="1"/>
        <v>82</v>
      </c>
    </row>
    <row r="450" spans="1:5" x14ac:dyDescent="0.3">
      <c r="A450" vm="1775">
        <f ca="1"/>
        <v>45335</v>
      </c>
      <c r="B450" vm="894">
        <f ca="1"/>
        <v>82.05</v>
      </c>
      <c r="C450" vm="854">
        <f ca="1"/>
        <v>83.23</v>
      </c>
      <c r="D450" vm="1598">
        <f ca="1"/>
        <v>81.96</v>
      </c>
      <c r="E450" vm="1776">
        <f ca="1"/>
        <v>82.77</v>
      </c>
    </row>
    <row r="451" spans="1:5" x14ac:dyDescent="0.3">
      <c r="A451" vm="1777">
        <f ca="1"/>
        <v>45336</v>
      </c>
      <c r="B451" vm="895">
        <f ca="1"/>
        <v>82.66</v>
      </c>
      <c r="C451" vm="1379">
        <f ca="1"/>
        <v>83.61</v>
      </c>
      <c r="D451" vm="1778">
        <f ca="1"/>
        <v>81.39</v>
      </c>
      <c r="E451" vm="1030">
        <f ca="1"/>
        <v>81.599999999999994</v>
      </c>
    </row>
    <row r="452" spans="1:5" x14ac:dyDescent="0.3">
      <c r="A452" vm="1779">
        <f ca="1"/>
        <v>45337</v>
      </c>
      <c r="B452" vm="1618">
        <f ca="1"/>
        <v>81.52</v>
      </c>
      <c r="C452" vm="1747">
        <f ca="1"/>
        <v>83.25</v>
      </c>
      <c r="D452" vm="1780">
        <f ca="1"/>
        <v>80.72</v>
      </c>
      <c r="E452" vm="697">
        <f ca="1"/>
        <v>82.86</v>
      </c>
    </row>
    <row r="453" spans="1:5" x14ac:dyDescent="0.3">
      <c r="A453" vm="1781">
        <f ca="1"/>
        <v>45338</v>
      </c>
      <c r="B453" vm="1301">
        <f ca="1"/>
        <v>82.83</v>
      </c>
      <c r="C453" vm="689">
        <f ca="1"/>
        <v>83.66</v>
      </c>
      <c r="D453" vm="1782">
        <f ca="1"/>
        <v>81.900000000000006</v>
      </c>
      <c r="E453" vm="907">
        <f ca="1"/>
        <v>83.47</v>
      </c>
    </row>
    <row r="454" spans="1:5" x14ac:dyDescent="0.3">
      <c r="A454" vm="1783">
        <f ca="1"/>
        <v>45341</v>
      </c>
      <c r="B454" t="e" vm="12">
        <f ca="1"/>
        <v>#N/A</v>
      </c>
      <c r="C454" t="e" vm="12">
        <f ca="1"/>
        <v>#N/A</v>
      </c>
      <c r="D454" t="e" vm="12">
        <f ca="1"/>
        <v>#N/A</v>
      </c>
      <c r="E454" t="e" vm="12">
        <f ca="1"/>
        <v>#N/A</v>
      </c>
    </row>
    <row r="455" spans="1:5" x14ac:dyDescent="0.3">
      <c r="A455" vm="1784">
        <f ca="1"/>
        <v>45342</v>
      </c>
      <c r="B455" vm="1785">
        <f ca="1"/>
        <v>83.3</v>
      </c>
      <c r="C455" vm="403">
        <f ca="1"/>
        <v>83.63</v>
      </c>
      <c r="D455" vm="894">
        <f ca="1"/>
        <v>82.05</v>
      </c>
      <c r="E455" vm="1786">
        <f ca="1"/>
        <v>82.34</v>
      </c>
    </row>
    <row r="456" spans="1:5" x14ac:dyDescent="0.3">
      <c r="A456" vm="1787">
        <f ca="1"/>
        <v>45343</v>
      </c>
      <c r="B456" vm="1736">
        <f ca="1"/>
        <v>82.56</v>
      </c>
      <c r="C456" vm="1788">
        <f ca="1"/>
        <v>83.17</v>
      </c>
      <c r="D456" vm="1789">
        <f ca="1"/>
        <v>81.67</v>
      </c>
      <c r="E456" vm="599">
        <f ca="1"/>
        <v>83.03</v>
      </c>
    </row>
    <row r="457" spans="1:5" x14ac:dyDescent="0.3">
      <c r="A457" vm="1790">
        <f ca="1"/>
        <v>45344</v>
      </c>
      <c r="B457" vm="865">
        <f ca="1"/>
        <v>83.16</v>
      </c>
      <c r="C457" vm="1576">
        <f ca="1"/>
        <v>83.97</v>
      </c>
      <c r="D457" vm="1786">
        <f ca="1"/>
        <v>82.34</v>
      </c>
      <c r="E457" vm="621">
        <f ca="1"/>
        <v>83.67</v>
      </c>
    </row>
    <row r="458" spans="1:5" x14ac:dyDescent="0.3">
      <c r="A458" vm="1791">
        <f ca="1"/>
        <v>45345</v>
      </c>
      <c r="B458" vm="1792">
        <f ca="1"/>
        <v>83.42</v>
      </c>
      <c r="C458" vm="1793">
        <f ca="1"/>
        <v>83.48</v>
      </c>
      <c r="D458" vm="1794">
        <f ca="1"/>
        <v>81.44</v>
      </c>
      <c r="E458" vm="1795">
        <f ca="1"/>
        <v>81.62</v>
      </c>
    </row>
    <row r="459" spans="1:5" x14ac:dyDescent="0.3">
      <c r="A459" vm="1796">
        <f ca="1"/>
        <v>45348</v>
      </c>
      <c r="B459" vm="900">
        <f ca="1"/>
        <v>81.59</v>
      </c>
      <c r="C459" vm="822">
        <f ca="1"/>
        <v>83.06</v>
      </c>
      <c r="D459" vm="1797">
        <f ca="1"/>
        <v>81.02</v>
      </c>
      <c r="E459" vm="1593">
        <f ca="1"/>
        <v>82.53</v>
      </c>
    </row>
    <row r="460" spans="1:5" x14ac:dyDescent="0.3">
      <c r="A460" vm="1798">
        <f ca="1"/>
        <v>45349</v>
      </c>
      <c r="B460" vm="1799">
        <f ca="1"/>
        <v>82.55</v>
      </c>
      <c r="C460" vm="760">
        <f ca="1"/>
        <v>83.74</v>
      </c>
      <c r="D460" vm="710">
        <f ca="1"/>
        <v>82.1</v>
      </c>
      <c r="E460" vm="1800">
        <f ca="1"/>
        <v>83.65</v>
      </c>
    </row>
    <row r="461" spans="1:5" x14ac:dyDescent="0.3">
      <c r="A461" vm="1801">
        <f ca="1"/>
        <v>45350</v>
      </c>
      <c r="B461" vm="1802">
        <f ca="1"/>
        <v>83.4</v>
      </c>
      <c r="C461" vm="1803">
        <f ca="1"/>
        <v>84.3</v>
      </c>
      <c r="D461" vm="897">
        <f ca="1"/>
        <v>82.62</v>
      </c>
      <c r="E461" vm="1804">
        <f ca="1"/>
        <v>83.68</v>
      </c>
    </row>
    <row r="462" spans="1:5" x14ac:dyDescent="0.3">
      <c r="A462" vm="1805">
        <f ca="1"/>
        <v>45351</v>
      </c>
      <c r="B462" vm="1800">
        <f ca="1"/>
        <v>83.65</v>
      </c>
      <c r="C462" vm="760">
        <f ca="1"/>
        <v>83.74</v>
      </c>
      <c r="D462" vm="1023">
        <f ca="1"/>
        <v>83.04</v>
      </c>
      <c r="E462" vm="1806">
        <f ca="1"/>
        <v>83.62</v>
      </c>
    </row>
    <row r="463" spans="1:5" x14ac:dyDescent="0.3">
      <c r="A463" vm="1807">
        <f ca="1"/>
        <v>45352</v>
      </c>
      <c r="B463" vm="1376">
        <f ca="1"/>
        <v>81.97</v>
      </c>
      <c r="C463" vm="884">
        <f ca="1"/>
        <v>84.35</v>
      </c>
      <c r="D463" vm="1808">
        <f ca="1"/>
        <v>81.81</v>
      </c>
      <c r="E463" vm="1741">
        <f ca="1"/>
        <v>83.55</v>
      </c>
    </row>
    <row r="464" spans="1:5" x14ac:dyDescent="0.3">
      <c r="A464" vm="1809">
        <f ca="1"/>
        <v>45355</v>
      </c>
      <c r="B464" vm="893">
        <f ca="1"/>
        <v>83.59</v>
      </c>
      <c r="C464" vm="1482">
        <f ca="1"/>
        <v>84.07</v>
      </c>
      <c r="D464" vm="1035">
        <f ca="1"/>
        <v>82.58</v>
      </c>
      <c r="E464" vm="1750">
        <f ca="1"/>
        <v>82.8</v>
      </c>
    </row>
    <row r="465" spans="1:5" x14ac:dyDescent="0.3">
      <c r="A465" vm="1810">
        <f ca="1"/>
        <v>45356</v>
      </c>
      <c r="B465" vm="737">
        <f ca="1"/>
        <v>82.97</v>
      </c>
      <c r="C465" vm="651">
        <f ca="1"/>
        <v>83.14</v>
      </c>
      <c r="D465" vm="682">
        <f ca="1"/>
        <v>81.73</v>
      </c>
      <c r="E465" vm="1026">
        <f ca="1"/>
        <v>82.04</v>
      </c>
    </row>
    <row r="466" spans="1:5" x14ac:dyDescent="0.3">
      <c r="A466" vm="1811">
        <f ca="1"/>
        <v>45357</v>
      </c>
      <c r="B466" vm="1812">
        <f ca="1"/>
        <v>82.08</v>
      </c>
      <c r="C466" vm="404">
        <f ca="1"/>
        <v>84.06</v>
      </c>
      <c r="D466" vm="1769">
        <f ca="1"/>
        <v>81.89</v>
      </c>
      <c r="E466" vm="1813">
        <f ca="1"/>
        <v>82.96</v>
      </c>
    </row>
    <row r="467" spans="1:5" x14ac:dyDescent="0.3">
      <c r="A467" vm="1814">
        <f ca="1"/>
        <v>45358</v>
      </c>
      <c r="B467" vm="655">
        <f ca="1"/>
        <v>82.84</v>
      </c>
      <c r="C467" vm="907">
        <f ca="1"/>
        <v>83.47</v>
      </c>
      <c r="D467" vm="1815">
        <f ca="1"/>
        <v>82.07</v>
      </c>
      <c r="E467" vm="1813">
        <f ca="1"/>
        <v>82.96</v>
      </c>
    </row>
    <row r="468" spans="1:5" x14ac:dyDescent="0.3">
      <c r="A468" vm="1816">
        <f ca="1"/>
        <v>45359</v>
      </c>
      <c r="B468" vm="1817">
        <f ca="1"/>
        <v>83.34</v>
      </c>
      <c r="C468" vm="878">
        <f ca="1"/>
        <v>83.84</v>
      </c>
      <c r="D468" vm="1674">
        <f ca="1"/>
        <v>81.709999999999994</v>
      </c>
      <c r="E468" vm="1812">
        <f ca="1"/>
        <v>82.08</v>
      </c>
    </row>
    <row r="469" spans="1:5" x14ac:dyDescent="0.3">
      <c r="A469" vm="1818">
        <f ca="1"/>
        <v>45362</v>
      </c>
      <c r="B469" vm="1819">
        <f ca="1"/>
        <v>81.91</v>
      </c>
      <c r="C469" vm="1033">
        <f ca="1"/>
        <v>82.73</v>
      </c>
      <c r="D469" vm="1820">
        <f ca="1"/>
        <v>81.08</v>
      </c>
      <c r="E469" vm="860">
        <f ca="1"/>
        <v>82.21</v>
      </c>
    </row>
    <row r="470" spans="1:5" x14ac:dyDescent="0.3">
      <c r="A470" vm="1821">
        <f ca="1"/>
        <v>45363</v>
      </c>
      <c r="B470" vm="1738">
        <f ca="1"/>
        <v>82.43</v>
      </c>
      <c r="C470" vm="849">
        <f ca="1"/>
        <v>83.01</v>
      </c>
      <c r="D470" vm="1280">
        <f ca="1"/>
        <v>81.69</v>
      </c>
      <c r="E470" vm="1822">
        <f ca="1"/>
        <v>81.92</v>
      </c>
    </row>
    <row r="471" spans="1:5" x14ac:dyDescent="0.3">
      <c r="A471" vm="1823">
        <f ca="1"/>
        <v>45364</v>
      </c>
      <c r="B471" vm="1740">
        <f ca="1"/>
        <v>82.39</v>
      </c>
      <c r="C471" vm="1484">
        <f ca="1"/>
        <v>84.22</v>
      </c>
      <c r="D471" vm="1376">
        <f ca="1"/>
        <v>81.97</v>
      </c>
      <c r="E471" vm="742">
        <f ca="1"/>
        <v>84.03</v>
      </c>
    </row>
    <row r="472" spans="1:5" x14ac:dyDescent="0.3">
      <c r="A472" vm="1824">
        <f ca="1"/>
        <v>45365</v>
      </c>
      <c r="B472" vm="1375">
        <f ca="1"/>
        <v>83.98</v>
      </c>
      <c r="C472" vm="788">
        <f ca="1"/>
        <v>85.68</v>
      </c>
      <c r="D472" vm="827">
        <f ca="1"/>
        <v>83.94</v>
      </c>
      <c r="E472" vm="1329">
        <f ca="1"/>
        <v>85.42</v>
      </c>
    </row>
    <row r="473" spans="1:5" x14ac:dyDescent="0.3">
      <c r="A473" vm="1825">
        <f ca="1"/>
        <v>45366</v>
      </c>
      <c r="B473" vm="1396">
        <f ca="1"/>
        <v>85.13</v>
      </c>
      <c r="C473" vm="984">
        <f ca="1"/>
        <v>85.55</v>
      </c>
      <c r="D473" vm="1549">
        <f ca="1"/>
        <v>84.63</v>
      </c>
      <c r="E473" vm="1338">
        <f ca="1"/>
        <v>85.34</v>
      </c>
    </row>
    <row r="474" spans="1:5" x14ac:dyDescent="0.3">
      <c r="A474" vm="1826">
        <f ca="1"/>
        <v>45369</v>
      </c>
      <c r="B474" vm="839">
        <f ca="1"/>
        <v>85.38</v>
      </c>
      <c r="C474" vm="1827">
        <f ca="1"/>
        <v>87.18</v>
      </c>
      <c r="D474" vm="1828">
        <f ca="1"/>
        <v>85.26</v>
      </c>
      <c r="E474" vm="1829">
        <f ca="1"/>
        <v>86.89</v>
      </c>
    </row>
    <row r="475" spans="1:5" x14ac:dyDescent="0.3">
      <c r="A475" vm="1830">
        <f ca="1"/>
        <v>45370</v>
      </c>
      <c r="B475" vm="759">
        <f ca="1"/>
        <v>86.85</v>
      </c>
      <c r="C475" vm="1831">
        <f ca="1"/>
        <v>87.71</v>
      </c>
      <c r="D475" vm="1832">
        <f ca="1"/>
        <v>86.49</v>
      </c>
      <c r="E475" vm="1833">
        <f ca="1"/>
        <v>87.38</v>
      </c>
    </row>
    <row r="476" spans="1:5" x14ac:dyDescent="0.3">
      <c r="A476" vm="1834">
        <f ca="1"/>
        <v>45371</v>
      </c>
      <c r="B476" vm="1541">
        <f ca="1"/>
        <v>87.22</v>
      </c>
      <c r="C476" vm="1351">
        <f ca="1"/>
        <v>87.35</v>
      </c>
      <c r="D476" vm="765">
        <f ca="1"/>
        <v>85.58</v>
      </c>
      <c r="E476" vm="1835">
        <f ca="1"/>
        <v>85.95</v>
      </c>
    </row>
    <row r="477" spans="1:5" x14ac:dyDescent="0.3">
      <c r="A477" vm="1836">
        <f ca="1"/>
        <v>45372</v>
      </c>
      <c r="B477" vm="761">
        <f ca="1"/>
        <v>86.16</v>
      </c>
      <c r="C477" vm="1354">
        <f ca="1"/>
        <v>86.64</v>
      </c>
      <c r="D477" vm="1837">
        <f ca="1"/>
        <v>85.05</v>
      </c>
      <c r="E477" vm="783">
        <f ca="1"/>
        <v>85.78</v>
      </c>
    </row>
    <row r="478" spans="1:5" x14ac:dyDescent="0.3">
      <c r="A478" vm="1838">
        <f ca="1"/>
        <v>45373</v>
      </c>
      <c r="B478" vm="984">
        <f ca="1"/>
        <v>85.55</v>
      </c>
      <c r="C478" vm="399">
        <f ca="1"/>
        <v>86.15</v>
      </c>
      <c r="D478" vm="1333">
        <f ca="1"/>
        <v>85.11</v>
      </c>
      <c r="E478" vm="604">
        <f ca="1"/>
        <v>85.43</v>
      </c>
    </row>
    <row r="479" spans="1:5" x14ac:dyDescent="0.3">
      <c r="A479" vm="1839">
        <f ca="1"/>
        <v>45376</v>
      </c>
      <c r="B479" vm="1499">
        <f ca="1"/>
        <v>85.6</v>
      </c>
      <c r="C479" vm="1827">
        <f ca="1"/>
        <v>87.18</v>
      </c>
      <c r="D479" vm="1015">
        <f ca="1"/>
        <v>85.4</v>
      </c>
      <c r="E479" vm="1840">
        <f ca="1"/>
        <v>86.75</v>
      </c>
    </row>
    <row r="480" spans="1:5" x14ac:dyDescent="0.3">
      <c r="A480" vm="1841">
        <f ca="1"/>
        <v>45377</v>
      </c>
      <c r="B480" vm="1842">
        <f ca="1"/>
        <v>86.77</v>
      </c>
      <c r="C480" vm="1843">
        <f ca="1"/>
        <v>87.05</v>
      </c>
      <c r="D480" vm="775">
        <f ca="1"/>
        <v>85.81</v>
      </c>
      <c r="E480" vm="608">
        <f ca="1"/>
        <v>86.25</v>
      </c>
    </row>
    <row r="481" spans="1:5" x14ac:dyDescent="0.3">
      <c r="A481" vm="1844">
        <f ca="1"/>
        <v>45378</v>
      </c>
      <c r="B481" vm="1845">
        <f ca="1"/>
        <v>85.97</v>
      </c>
      <c r="C481" vm="763">
        <f ca="1"/>
        <v>86.36</v>
      </c>
      <c r="D481" vm="1500">
        <f ca="1"/>
        <v>85.18</v>
      </c>
      <c r="E481" vm="1005">
        <f ca="1"/>
        <v>86.09</v>
      </c>
    </row>
    <row r="482" spans="1:5" x14ac:dyDescent="0.3">
      <c r="A482" vm="1846">
        <f ca="1"/>
        <v>45379</v>
      </c>
      <c r="B482" vm="1847">
        <f ca="1"/>
        <v>86.53</v>
      </c>
      <c r="C482" vm="417">
        <f ca="1"/>
        <v>87.45</v>
      </c>
      <c r="D482" vm="1848">
        <f ca="1"/>
        <v>86.32</v>
      </c>
      <c r="E482" vm="1849">
        <f ca="1"/>
        <v>87.48</v>
      </c>
    </row>
    <row r="483" spans="1:5" x14ac:dyDescent="0.3">
      <c r="A483" vm="1850">
        <f ca="1"/>
        <v>45380</v>
      </c>
      <c r="B483" t="e" vm="12">
        <f ca="1"/>
        <v>#N/A</v>
      </c>
      <c r="C483" t="e" vm="12">
        <f ca="1"/>
        <v>#N/A</v>
      </c>
      <c r="D483" t="e" vm="12">
        <f ca="1"/>
        <v>#N/A</v>
      </c>
      <c r="E483" t="e" vm="12">
        <f ca="1"/>
        <v>#N/A</v>
      </c>
    </row>
    <row r="484" spans="1:5" x14ac:dyDescent="0.3">
      <c r="A484" vm="1851">
        <f ca="1"/>
        <v>45383</v>
      </c>
      <c r="B484" vm="770">
        <f ca="1"/>
        <v>86.93</v>
      </c>
      <c r="C484" vm="1852">
        <f ca="1"/>
        <v>87.99</v>
      </c>
      <c r="D484" vm="834">
        <f ca="1"/>
        <v>86.4</v>
      </c>
      <c r="E484" vm="1544">
        <f ca="1"/>
        <v>87.42</v>
      </c>
    </row>
    <row r="485" spans="1:5" x14ac:dyDescent="0.3">
      <c r="A485" vm="1853">
        <f ca="1"/>
        <v>45384</v>
      </c>
      <c r="B485" vm="573">
        <f ca="1"/>
        <v>87.8</v>
      </c>
      <c r="C485" vm="1854">
        <f ca="1"/>
        <v>89.28</v>
      </c>
      <c r="D485" vm="577">
        <f ca="1"/>
        <v>87.65</v>
      </c>
      <c r="E485" vm="1855">
        <f ca="1"/>
        <v>88.92</v>
      </c>
    </row>
    <row r="486" spans="1:5" x14ac:dyDescent="0.3">
      <c r="A486" vm="1856">
        <f ca="1"/>
        <v>45385</v>
      </c>
      <c r="B486" vm="1857">
        <f ca="1"/>
        <v>89.21</v>
      </c>
      <c r="C486" vm="568">
        <f ca="1"/>
        <v>89.98</v>
      </c>
      <c r="D486" vm="1858">
        <f ca="1"/>
        <v>88.68</v>
      </c>
      <c r="E486" vm="1859">
        <f ca="1"/>
        <v>89.35</v>
      </c>
    </row>
    <row r="487" spans="1:5" x14ac:dyDescent="0.3">
      <c r="A487" vm="1860">
        <f ca="1"/>
        <v>45386</v>
      </c>
      <c r="B487" vm="1861">
        <f ca="1"/>
        <v>89.5</v>
      </c>
      <c r="C487" vm="1862">
        <f ca="1"/>
        <v>91.3</v>
      </c>
      <c r="D487" vm="1863">
        <f ca="1"/>
        <v>88.73</v>
      </c>
      <c r="E487" vm="375">
        <f ca="1"/>
        <v>90.65</v>
      </c>
    </row>
    <row r="488" spans="1:5" x14ac:dyDescent="0.3">
      <c r="A488" vm="1864">
        <f ca="1"/>
        <v>45387</v>
      </c>
      <c r="B488" vm="1865">
        <f ca="1"/>
        <v>91.01</v>
      </c>
      <c r="C488" vm="1866">
        <f ca="1"/>
        <v>91.91</v>
      </c>
      <c r="D488" vm="1867">
        <f ca="1"/>
        <v>90.57</v>
      </c>
      <c r="E488" vm="1868">
        <f ca="1"/>
        <v>91.17</v>
      </c>
    </row>
    <row r="489" spans="1:5" x14ac:dyDescent="0.3">
      <c r="A489" vm="1869">
        <f ca="1"/>
        <v>45390</v>
      </c>
      <c r="B489" vm="1870">
        <f ca="1"/>
        <v>90.31</v>
      </c>
      <c r="C489" vm="1871">
        <f ca="1"/>
        <v>91.1</v>
      </c>
      <c r="D489" vm="1872">
        <f ca="1"/>
        <v>88.8</v>
      </c>
      <c r="E489" vm="1873">
        <f ca="1"/>
        <v>90.38</v>
      </c>
    </row>
    <row r="490" spans="1:5" x14ac:dyDescent="0.3">
      <c r="A490" vm="1874">
        <f ca="1"/>
        <v>45391</v>
      </c>
      <c r="B490" vm="1875">
        <f ca="1"/>
        <v>90.55</v>
      </c>
      <c r="C490" vm="1876">
        <f ca="1"/>
        <v>90.94</v>
      </c>
      <c r="D490" vm="1877">
        <f ca="1"/>
        <v>89.27</v>
      </c>
      <c r="E490" vm="1878">
        <f ca="1"/>
        <v>89.42</v>
      </c>
    </row>
    <row r="491" spans="1:5" x14ac:dyDescent="0.3">
      <c r="A491" vm="1879">
        <f ca="1"/>
        <v>45392</v>
      </c>
      <c r="B491" vm="1880">
        <f ca="1"/>
        <v>89.51</v>
      </c>
      <c r="C491" vm="1418">
        <f ca="1"/>
        <v>90.66</v>
      </c>
      <c r="D491" vm="1881">
        <f ca="1"/>
        <v>88.83</v>
      </c>
      <c r="E491" vm="1538">
        <f ca="1"/>
        <v>90.48</v>
      </c>
    </row>
    <row r="492" spans="1:5" x14ac:dyDescent="0.3">
      <c r="A492" vm="1882">
        <f ca="1"/>
        <v>45393</v>
      </c>
      <c r="B492" vm="1425">
        <f ca="1"/>
        <v>90.54</v>
      </c>
      <c r="C492" vm="1476">
        <f ca="1"/>
        <v>90.92</v>
      </c>
      <c r="D492" vm="1883">
        <f ca="1"/>
        <v>89.37</v>
      </c>
      <c r="E492" vm="1884">
        <f ca="1"/>
        <v>89.74</v>
      </c>
    </row>
    <row r="493" spans="1:5" x14ac:dyDescent="0.3">
      <c r="A493" vm="1885">
        <f ca="1"/>
        <v>45394</v>
      </c>
      <c r="B493" vm="1886">
        <f ca="1"/>
        <v>90.29</v>
      </c>
      <c r="C493" vm="1887">
        <f ca="1"/>
        <v>92.18</v>
      </c>
      <c r="D493" vm="1888">
        <f ca="1"/>
        <v>90.01</v>
      </c>
      <c r="E493" vm="1889">
        <f ca="1"/>
        <v>90.45</v>
      </c>
    </row>
    <row r="494" spans="1:5" x14ac:dyDescent="0.3">
      <c r="A494" vm="1890">
        <f ca="1"/>
        <v>45397</v>
      </c>
      <c r="B494" vm="1891">
        <f ca="1"/>
        <v>90.37</v>
      </c>
      <c r="C494" vm="1892">
        <f ca="1"/>
        <v>91.15</v>
      </c>
      <c r="D494" vm="1863">
        <f ca="1"/>
        <v>88.73</v>
      </c>
      <c r="E494" vm="416">
        <f ca="1"/>
        <v>90.1</v>
      </c>
    </row>
    <row r="495" spans="1:5" x14ac:dyDescent="0.3">
      <c r="A495" vm="1893">
        <f ca="1"/>
        <v>45398</v>
      </c>
      <c r="B495" vm="1894">
        <f ca="1"/>
        <v>90.43</v>
      </c>
      <c r="C495" vm="1895">
        <f ca="1"/>
        <v>90.83</v>
      </c>
      <c r="D495" vm="607">
        <f ca="1"/>
        <v>89.41</v>
      </c>
      <c r="E495" vm="1896">
        <f ca="1"/>
        <v>90.02</v>
      </c>
    </row>
    <row r="496" spans="1:5" x14ac:dyDescent="0.3">
      <c r="A496" vm="1897">
        <f ca="1"/>
        <v>45399</v>
      </c>
      <c r="B496" vm="372">
        <f ca="1"/>
        <v>90.05</v>
      </c>
      <c r="C496" vm="1898">
        <f ca="1"/>
        <v>90.15</v>
      </c>
      <c r="D496" vm="1899">
        <f ca="1"/>
        <v>87.14</v>
      </c>
      <c r="E496" vm="1900">
        <f ca="1"/>
        <v>87.29</v>
      </c>
    </row>
    <row r="497" spans="1:5" x14ac:dyDescent="0.3">
      <c r="A497" vm="1901">
        <f ca="1"/>
        <v>45400</v>
      </c>
      <c r="B497" vm="1902">
        <f ca="1"/>
        <v>87.44</v>
      </c>
      <c r="C497" vm="1903">
        <f ca="1"/>
        <v>87.79</v>
      </c>
      <c r="D497" vm="1904">
        <f ca="1"/>
        <v>86.1</v>
      </c>
      <c r="E497" vm="1905">
        <f ca="1"/>
        <v>87.11</v>
      </c>
    </row>
    <row r="498" spans="1:5" x14ac:dyDescent="0.3">
      <c r="A498" vm="1906">
        <f ca="1"/>
        <v>45401</v>
      </c>
      <c r="B498" vm="1907">
        <f ca="1"/>
        <v>86.96</v>
      </c>
      <c r="C498" vm="1908">
        <f ca="1"/>
        <v>90.78</v>
      </c>
      <c r="D498" vm="761">
        <f ca="1"/>
        <v>86.16</v>
      </c>
      <c r="E498" vm="1900">
        <f ca="1"/>
        <v>87.29</v>
      </c>
    </row>
    <row r="499" spans="1:5" x14ac:dyDescent="0.3">
      <c r="A499" vm="1909">
        <f ca="1"/>
        <v>45404</v>
      </c>
      <c r="B499" vm="1910">
        <f ca="1"/>
        <v>87.04</v>
      </c>
      <c r="C499" vm="1911">
        <f ca="1"/>
        <v>87.25</v>
      </c>
      <c r="D499" vm="570">
        <f ca="1"/>
        <v>85.79</v>
      </c>
      <c r="E499" vm="1912">
        <f ca="1"/>
        <v>87</v>
      </c>
    </row>
    <row r="500" spans="1:5" x14ac:dyDescent="0.3">
      <c r="A500" vm="1913">
        <f ca="1"/>
        <v>45405</v>
      </c>
      <c r="B500" vm="347">
        <f ca="1"/>
        <v>87.23</v>
      </c>
      <c r="C500" vm="418">
        <f ca="1"/>
        <v>88.49</v>
      </c>
      <c r="D500" vm="707">
        <f ca="1"/>
        <v>86.04</v>
      </c>
      <c r="E500" vm="1914">
        <f ca="1"/>
        <v>88.42</v>
      </c>
    </row>
    <row r="501" spans="1:5" x14ac:dyDescent="0.3">
      <c r="A501" vm="1915">
        <f ca="1"/>
        <v>45406</v>
      </c>
      <c r="B501" vm="350">
        <f ca="1"/>
        <v>88.46</v>
      </c>
      <c r="C501" vm="1872">
        <f ca="1"/>
        <v>88.8</v>
      </c>
      <c r="D501" vm="577">
        <f ca="1"/>
        <v>87.65</v>
      </c>
      <c r="E501" vm="1916">
        <f ca="1"/>
        <v>88.02</v>
      </c>
    </row>
    <row r="502" spans="1:5" x14ac:dyDescent="0.3">
      <c r="A502" vm="1917">
        <f ca="1"/>
        <v>45407</v>
      </c>
      <c r="B502" vm="1492">
        <f ca="1"/>
        <v>88.11</v>
      </c>
      <c r="C502" vm="1918">
        <f ca="1"/>
        <v>89.26</v>
      </c>
      <c r="D502" vm="1900">
        <f ca="1"/>
        <v>87.29</v>
      </c>
      <c r="E502" vm="1919">
        <f ca="1"/>
        <v>89.01</v>
      </c>
    </row>
    <row r="503" spans="1:5" x14ac:dyDescent="0.3">
      <c r="A503" vm="1920">
        <f ca="1"/>
        <v>45408</v>
      </c>
      <c r="B503" vm="1857">
        <f ca="1"/>
        <v>89.21</v>
      </c>
      <c r="C503" vm="346">
        <f ca="1"/>
        <v>89.83</v>
      </c>
      <c r="D503" vm="1872">
        <f ca="1"/>
        <v>88.8</v>
      </c>
      <c r="E503" vm="1861">
        <f ca="1"/>
        <v>89.5</v>
      </c>
    </row>
    <row r="504" spans="1:5" x14ac:dyDescent="0.3">
      <c r="A504" vm="1921">
        <f ca="1"/>
        <v>45411</v>
      </c>
      <c r="B504" vm="1411">
        <f ca="1"/>
        <v>89.25</v>
      </c>
      <c r="C504" vm="390">
        <f ca="1"/>
        <v>89.3</v>
      </c>
      <c r="D504" vm="1349">
        <f ca="1"/>
        <v>88.1</v>
      </c>
      <c r="E504" vm="1922">
        <f ca="1"/>
        <v>88.4</v>
      </c>
    </row>
    <row r="505" spans="1:5" x14ac:dyDescent="0.3">
      <c r="A505" vm="1923">
        <f ca="1"/>
        <v>45412</v>
      </c>
      <c r="B505" vm="352">
        <f ca="1"/>
        <v>88.32</v>
      </c>
      <c r="C505" vm="774">
        <f ca="1"/>
        <v>88.71</v>
      </c>
      <c r="D505" vm="784">
        <f ca="1"/>
        <v>87.47</v>
      </c>
      <c r="E505" vm="1924">
        <f ca="1"/>
        <v>87.86</v>
      </c>
    </row>
    <row r="506" spans="1:5" x14ac:dyDescent="0.3">
      <c r="A506" vm="1925">
        <f ca="1"/>
        <v>45413</v>
      </c>
      <c r="B506" vm="1926">
        <f ca="1"/>
        <v>85.96</v>
      </c>
      <c r="C506" vm="1926">
        <f ca="1"/>
        <v>85.96</v>
      </c>
      <c r="D506" vm="890">
        <f ca="1"/>
        <v>83.29</v>
      </c>
      <c r="E506" vm="1328">
        <f ca="1"/>
        <v>83.44</v>
      </c>
    </row>
    <row r="507" spans="1:5" x14ac:dyDescent="0.3">
      <c r="A507" vm="1927">
        <f ca="1"/>
        <v>45414</v>
      </c>
      <c r="B507" vm="589">
        <f ca="1"/>
        <v>83.56</v>
      </c>
      <c r="C507" vm="1389">
        <f ca="1"/>
        <v>84.42</v>
      </c>
      <c r="D507" vm="599">
        <f ca="1"/>
        <v>83.03</v>
      </c>
      <c r="E507" vm="621">
        <f ca="1"/>
        <v>83.67</v>
      </c>
    </row>
    <row r="508" spans="1:5" x14ac:dyDescent="0.3">
      <c r="A508" vm="1928">
        <f ca="1"/>
        <v>45415</v>
      </c>
      <c r="B508" vm="591">
        <f ca="1"/>
        <v>83.8</v>
      </c>
      <c r="C508" vm="755">
        <f ca="1"/>
        <v>84.4</v>
      </c>
      <c r="D508" vm="1750">
        <f ca="1"/>
        <v>82.8</v>
      </c>
      <c r="E508" vm="1813">
        <f ca="1"/>
        <v>82.96</v>
      </c>
    </row>
    <row r="509" spans="1:5" x14ac:dyDescent="0.3">
      <c r="A509" vm="1929">
        <f ca="1"/>
        <v>45418</v>
      </c>
      <c r="B509" vm="892">
        <f ca="1"/>
        <v>82.98</v>
      </c>
      <c r="C509" vm="1016">
        <f ca="1"/>
        <v>83.82</v>
      </c>
      <c r="D509" vm="1930">
        <f ca="1"/>
        <v>82.76</v>
      </c>
      <c r="E509" vm="1931">
        <f ca="1"/>
        <v>83.33</v>
      </c>
    </row>
    <row r="510" spans="1:5" x14ac:dyDescent="0.3">
      <c r="A510" vm="1932">
        <f ca="1"/>
        <v>45419</v>
      </c>
      <c r="B510" vm="893">
        <f ca="1"/>
        <v>83.59</v>
      </c>
      <c r="C510" vm="981">
        <f ca="1"/>
        <v>83.87</v>
      </c>
      <c r="D510" vm="1595">
        <f ca="1"/>
        <v>82.4</v>
      </c>
      <c r="E510" vm="865">
        <f ca="1"/>
        <v>83.16</v>
      </c>
    </row>
    <row r="511" spans="1:5" x14ac:dyDescent="0.3">
      <c r="A511" vm="1933">
        <f ca="1"/>
        <v>45420</v>
      </c>
      <c r="B511" vm="1023">
        <f ca="1"/>
        <v>83.04</v>
      </c>
      <c r="C511" vm="1016">
        <f ca="1"/>
        <v>83.82</v>
      </c>
      <c r="D511" vm="1934">
        <f ca="1"/>
        <v>81.72</v>
      </c>
      <c r="E511" vm="601">
        <f ca="1"/>
        <v>83.58</v>
      </c>
    </row>
    <row r="512" spans="1:5" x14ac:dyDescent="0.3">
      <c r="A512" vm="1935">
        <f ca="1"/>
        <v>45421</v>
      </c>
      <c r="B512" vm="1393">
        <f ca="1"/>
        <v>83.78</v>
      </c>
      <c r="C512" vm="690">
        <f ca="1"/>
        <v>84.33</v>
      </c>
      <c r="D512" vm="1936">
        <f ca="1"/>
        <v>83.46</v>
      </c>
      <c r="E512" vm="1302">
        <f ca="1"/>
        <v>83.88</v>
      </c>
    </row>
    <row r="513" spans="1:5" x14ac:dyDescent="0.3">
      <c r="A513" vm="1937">
        <f ca="1"/>
        <v>45422</v>
      </c>
      <c r="B513" vm="1938">
        <f ca="1"/>
        <v>84.21</v>
      </c>
      <c r="C513" vm="1317">
        <f ca="1"/>
        <v>84.52</v>
      </c>
      <c r="D513" vm="1939">
        <f ca="1"/>
        <v>82.71</v>
      </c>
      <c r="E513" vm="1940">
        <f ca="1"/>
        <v>82.79</v>
      </c>
    </row>
    <row r="514" spans="1:5" x14ac:dyDescent="0.3">
      <c r="A514" vm="1941">
        <f ca="1"/>
        <v>45425</v>
      </c>
      <c r="B514" vm="653">
        <f ca="1"/>
        <v>82.7</v>
      </c>
      <c r="C514" vm="1366">
        <f ca="1"/>
        <v>83.83</v>
      </c>
      <c r="D514" vm="700">
        <f ca="1"/>
        <v>82.26</v>
      </c>
      <c r="E514" vm="1380">
        <f ca="1"/>
        <v>83.36</v>
      </c>
    </row>
    <row r="515" spans="1:5" x14ac:dyDescent="0.3">
      <c r="A515" vm="1942">
        <f ca="1"/>
        <v>45426</v>
      </c>
      <c r="B515" vm="817">
        <f ca="1"/>
        <v>83.5</v>
      </c>
      <c r="C515" vm="1806">
        <f ca="1"/>
        <v>83.62</v>
      </c>
      <c r="D515" vm="710">
        <f ca="1"/>
        <v>82.1</v>
      </c>
      <c r="E515" vm="741">
        <f ca="1"/>
        <v>82.38</v>
      </c>
    </row>
    <row r="516" spans="1:5" x14ac:dyDescent="0.3">
      <c r="A516" vm="1943">
        <f ca="1"/>
        <v>45427</v>
      </c>
      <c r="B516" vm="1776">
        <f ca="1"/>
        <v>82.77</v>
      </c>
      <c r="C516" vm="1944">
        <f ca="1"/>
        <v>83.07</v>
      </c>
      <c r="D516" vm="1945">
        <f ca="1"/>
        <v>81.06</v>
      </c>
      <c r="E516" vm="859">
        <f ca="1"/>
        <v>82.75</v>
      </c>
    </row>
    <row r="517" spans="1:5" x14ac:dyDescent="0.3">
      <c r="A517" vm="1946">
        <f ca="1"/>
        <v>45428</v>
      </c>
      <c r="B517" vm="1589">
        <f ca="1"/>
        <v>82.93</v>
      </c>
      <c r="C517" vm="1393">
        <f ca="1"/>
        <v>83.78</v>
      </c>
      <c r="D517" vm="1947">
        <f ca="1"/>
        <v>82.31</v>
      </c>
      <c r="E517" vm="1306">
        <f ca="1"/>
        <v>83.27</v>
      </c>
    </row>
    <row r="518" spans="1:5" x14ac:dyDescent="0.3">
      <c r="A518" vm="1948">
        <f ca="1"/>
        <v>45429</v>
      </c>
      <c r="B518" vm="1328">
        <f ca="1"/>
        <v>83.44</v>
      </c>
      <c r="C518" vm="1949">
        <f ca="1"/>
        <v>84.04</v>
      </c>
      <c r="D518" vm="620">
        <f ca="1"/>
        <v>83.09</v>
      </c>
      <c r="E518" vm="1375">
        <f ca="1"/>
        <v>83.98</v>
      </c>
    </row>
    <row r="519" spans="1:5" x14ac:dyDescent="0.3">
      <c r="A519" vm="1950">
        <f ca="1"/>
        <v>45432</v>
      </c>
      <c r="B519" vm="1951">
        <f ca="1"/>
        <v>84</v>
      </c>
      <c r="C519" vm="823">
        <f ca="1"/>
        <v>84.5</v>
      </c>
      <c r="D519" vm="867">
        <f ca="1"/>
        <v>83.12</v>
      </c>
      <c r="E519" vm="1952">
        <f ca="1"/>
        <v>83.71</v>
      </c>
    </row>
    <row r="520" spans="1:5" x14ac:dyDescent="0.3">
      <c r="A520" vm="1953">
        <f ca="1"/>
        <v>45433</v>
      </c>
      <c r="B520" vm="1954">
        <f ca="1"/>
        <v>83.7</v>
      </c>
      <c r="C520" vm="760">
        <f ca="1"/>
        <v>83.74</v>
      </c>
      <c r="D520" vm="1955">
        <f ca="1"/>
        <v>82.06</v>
      </c>
      <c r="E520" vm="703">
        <f ca="1"/>
        <v>82.88</v>
      </c>
    </row>
    <row r="521" spans="1:5" x14ac:dyDescent="0.3">
      <c r="A521" vm="1956">
        <f ca="1"/>
        <v>45434</v>
      </c>
      <c r="B521" vm="1957">
        <f ca="1"/>
        <v>82.48</v>
      </c>
      <c r="C521" vm="871">
        <f ca="1"/>
        <v>82.64</v>
      </c>
      <c r="D521" vm="1958">
        <f ca="1"/>
        <v>81.58</v>
      </c>
      <c r="E521" vm="1782">
        <f ca="1"/>
        <v>81.900000000000006</v>
      </c>
    </row>
    <row r="522" spans="1:5" x14ac:dyDescent="0.3">
      <c r="A522" vm="1959">
        <f ca="1"/>
        <v>45435</v>
      </c>
      <c r="B522" vm="1280">
        <f ca="1"/>
        <v>81.69</v>
      </c>
      <c r="C522" vm="737">
        <f ca="1"/>
        <v>82.97</v>
      </c>
      <c r="D522" vm="1960">
        <f ca="1"/>
        <v>80.930000000000007</v>
      </c>
      <c r="E522" vm="1277">
        <f ca="1"/>
        <v>81.36</v>
      </c>
    </row>
    <row r="523" spans="1:5" x14ac:dyDescent="0.3">
      <c r="A523" vm="1961">
        <f ca="1"/>
        <v>45436</v>
      </c>
      <c r="B523" vm="1962">
        <f ca="1"/>
        <v>81.540000000000006</v>
      </c>
      <c r="C523" vm="869">
        <f ca="1"/>
        <v>82.45</v>
      </c>
      <c r="D523" vm="1963">
        <f ca="1"/>
        <v>80.66</v>
      </c>
      <c r="E523" vm="1964">
        <f ca="1"/>
        <v>82.12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AD5D-1B09-4C16-ABE8-EB374102CC28}">
  <dimension ref="A1:E503"/>
  <sheetViews>
    <sheetView workbookViewId="0">
      <selection sqref="A1:E1"/>
    </sheetView>
  </sheetViews>
  <sheetFormatPr baseColWidth="10" defaultRowHeight="14.4" x14ac:dyDescent="0.3"/>
  <cols>
    <col min="1" max="1" width="13.77734375" customWidth="1"/>
    <col min="2" max="2" width="12.5546875" customWidth="1"/>
    <col min="3" max="3" width="10.44140625" customWidth="1"/>
    <col min="4" max="4" width="9.6640625" customWidth="1"/>
    <col min="5" max="5" width="14.6640625" customWidth="1"/>
  </cols>
  <sheetData>
    <row r="1" spans="1:5" ht="29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3">
        <v>44707</v>
      </c>
      <c r="B2">
        <v>114.45</v>
      </c>
      <c r="C2">
        <v>118</v>
      </c>
      <c r="D2">
        <v>113.84</v>
      </c>
      <c r="E2">
        <v>117.4</v>
      </c>
    </row>
    <row r="3" spans="1:5" x14ac:dyDescent="0.3">
      <c r="A3" s="3">
        <v>44708</v>
      </c>
      <c r="B3">
        <v>117.54</v>
      </c>
      <c r="C3">
        <v>119.73</v>
      </c>
      <c r="D3">
        <v>116.68</v>
      </c>
      <c r="E3">
        <v>119.43</v>
      </c>
    </row>
    <row r="4" spans="1:5" x14ac:dyDescent="0.3">
      <c r="A4" s="3">
        <v>44712</v>
      </c>
      <c r="B4">
        <v>119.47</v>
      </c>
      <c r="C4">
        <v>124.13</v>
      </c>
      <c r="D4">
        <v>119.36</v>
      </c>
      <c r="E4">
        <v>122.84</v>
      </c>
    </row>
    <row r="5" spans="1:5" x14ac:dyDescent="0.3">
      <c r="A5" s="3">
        <v>44713</v>
      </c>
      <c r="B5">
        <v>116.63</v>
      </c>
      <c r="C5">
        <v>118.58</v>
      </c>
      <c r="D5">
        <v>115.43</v>
      </c>
      <c r="E5">
        <v>116.29</v>
      </c>
    </row>
    <row r="6" spans="1:5" x14ac:dyDescent="0.3">
      <c r="A6" s="3">
        <v>44714</v>
      </c>
      <c r="B6">
        <v>115.82</v>
      </c>
      <c r="C6">
        <v>118.44</v>
      </c>
      <c r="D6">
        <v>112.48</v>
      </c>
      <c r="E6">
        <v>117.61</v>
      </c>
    </row>
    <row r="7" spans="1:5" x14ac:dyDescent="0.3">
      <c r="A7" s="3">
        <v>44715</v>
      </c>
      <c r="B7">
        <v>118.26</v>
      </c>
      <c r="C7">
        <v>121.44</v>
      </c>
      <c r="D7">
        <v>116.08</v>
      </c>
      <c r="E7">
        <v>119.72</v>
      </c>
    </row>
    <row r="8" spans="1:5" x14ac:dyDescent="0.3">
      <c r="A8" s="3">
        <v>44718</v>
      </c>
      <c r="B8">
        <v>121.35</v>
      </c>
      <c r="C8">
        <v>121.89</v>
      </c>
      <c r="D8">
        <v>118.76</v>
      </c>
      <c r="E8">
        <v>119.51</v>
      </c>
    </row>
    <row r="9" spans="1:5" x14ac:dyDescent="0.3">
      <c r="A9" s="3">
        <v>44719</v>
      </c>
      <c r="B9">
        <v>120.08</v>
      </c>
      <c r="C9">
        <v>121.38</v>
      </c>
      <c r="D9">
        <v>118.56</v>
      </c>
      <c r="E9">
        <v>120.57</v>
      </c>
    </row>
    <row r="10" spans="1:5" x14ac:dyDescent="0.3">
      <c r="A10" s="3">
        <v>44720</v>
      </c>
      <c r="B10">
        <v>121.03</v>
      </c>
      <c r="C10">
        <v>124.41</v>
      </c>
      <c r="D10">
        <v>120.46</v>
      </c>
      <c r="E10">
        <v>123.58</v>
      </c>
    </row>
    <row r="11" spans="1:5" x14ac:dyDescent="0.3">
      <c r="A11" s="3">
        <v>44721</v>
      </c>
      <c r="B11">
        <v>123.89</v>
      </c>
      <c r="C11">
        <v>124.33</v>
      </c>
      <c r="D11">
        <v>122.5</v>
      </c>
      <c r="E11">
        <v>123.07</v>
      </c>
    </row>
    <row r="12" spans="1:5" x14ac:dyDescent="0.3">
      <c r="A12" s="3">
        <v>44722</v>
      </c>
      <c r="B12">
        <v>122.94</v>
      </c>
      <c r="C12">
        <v>124.33</v>
      </c>
      <c r="D12">
        <v>119.87</v>
      </c>
      <c r="E12">
        <v>122.01</v>
      </c>
    </row>
    <row r="13" spans="1:5" x14ac:dyDescent="0.3">
      <c r="A13" s="3">
        <v>44725</v>
      </c>
      <c r="B13">
        <v>121.69</v>
      </c>
      <c r="C13">
        <v>123.61</v>
      </c>
      <c r="D13">
        <v>118.95</v>
      </c>
      <c r="E13">
        <v>122.27</v>
      </c>
    </row>
    <row r="14" spans="1:5" x14ac:dyDescent="0.3">
      <c r="A14" s="3">
        <v>44726</v>
      </c>
      <c r="B14">
        <v>122.5</v>
      </c>
      <c r="C14">
        <v>125.18</v>
      </c>
      <c r="D14">
        <v>118.94</v>
      </c>
      <c r="E14">
        <v>121.17</v>
      </c>
    </row>
    <row r="15" spans="1:5" x14ac:dyDescent="0.3">
      <c r="A15" s="3">
        <v>44727</v>
      </c>
      <c r="B15">
        <v>121</v>
      </c>
      <c r="C15">
        <v>121.85</v>
      </c>
      <c r="D15">
        <v>117.75</v>
      </c>
      <c r="E15">
        <v>118.51</v>
      </c>
    </row>
    <row r="16" spans="1:5" x14ac:dyDescent="0.3">
      <c r="A16" s="3">
        <v>44728</v>
      </c>
      <c r="B16">
        <v>119.12</v>
      </c>
      <c r="C16">
        <v>120.28</v>
      </c>
      <c r="D16">
        <v>115.58</v>
      </c>
      <c r="E16">
        <v>119.81</v>
      </c>
    </row>
    <row r="17" spans="1:5" x14ac:dyDescent="0.3">
      <c r="A17" s="3">
        <v>44729</v>
      </c>
      <c r="B17">
        <v>119.34</v>
      </c>
      <c r="C17">
        <v>121.25</v>
      </c>
      <c r="D17">
        <v>111.72</v>
      </c>
      <c r="E17">
        <v>113.12</v>
      </c>
    </row>
    <row r="18" spans="1:5" x14ac:dyDescent="0.3">
      <c r="A18" s="3">
        <v>44733</v>
      </c>
      <c r="B18">
        <v>113.8</v>
      </c>
      <c r="C18">
        <v>116.25</v>
      </c>
      <c r="D18">
        <v>111.57</v>
      </c>
      <c r="E18">
        <v>114.65</v>
      </c>
    </row>
    <row r="19" spans="1:5" x14ac:dyDescent="0.3">
      <c r="A19" s="3">
        <v>44734</v>
      </c>
      <c r="B19">
        <v>114.57</v>
      </c>
      <c r="C19">
        <v>114.57</v>
      </c>
      <c r="D19">
        <v>107.03</v>
      </c>
      <c r="E19">
        <v>111.74</v>
      </c>
    </row>
    <row r="20" spans="1:5" x14ac:dyDescent="0.3">
      <c r="A20" s="3">
        <v>44735</v>
      </c>
      <c r="B20">
        <v>110.22</v>
      </c>
      <c r="C20">
        <v>112.69</v>
      </c>
      <c r="D20">
        <v>108.11</v>
      </c>
      <c r="E20">
        <v>110.05</v>
      </c>
    </row>
    <row r="21" spans="1:5" x14ac:dyDescent="0.3">
      <c r="A21" s="3">
        <v>44736</v>
      </c>
      <c r="B21">
        <v>109.81</v>
      </c>
      <c r="C21">
        <v>113.99</v>
      </c>
      <c r="D21">
        <v>109.27</v>
      </c>
      <c r="E21">
        <v>113.12</v>
      </c>
    </row>
    <row r="22" spans="1:5" x14ac:dyDescent="0.3">
      <c r="A22" s="3">
        <v>44739</v>
      </c>
      <c r="B22">
        <v>112.46</v>
      </c>
      <c r="C22">
        <v>116.04</v>
      </c>
      <c r="D22">
        <v>111.25</v>
      </c>
      <c r="E22">
        <v>115.09</v>
      </c>
    </row>
    <row r="23" spans="1:5" x14ac:dyDescent="0.3">
      <c r="A23" s="3">
        <v>44740</v>
      </c>
      <c r="B23">
        <v>115.84</v>
      </c>
      <c r="C23">
        <v>118.24</v>
      </c>
      <c r="D23">
        <v>115.4</v>
      </c>
      <c r="E23">
        <v>117.98</v>
      </c>
    </row>
    <row r="24" spans="1:5" x14ac:dyDescent="0.3">
      <c r="A24" s="3">
        <v>44741</v>
      </c>
      <c r="B24">
        <v>117.96</v>
      </c>
      <c r="C24">
        <v>120.38</v>
      </c>
      <c r="D24">
        <v>115.41</v>
      </c>
      <c r="E24">
        <v>116.26</v>
      </c>
    </row>
    <row r="25" spans="1:5" x14ac:dyDescent="0.3">
      <c r="A25" s="3">
        <v>44742</v>
      </c>
      <c r="B25">
        <v>116.04</v>
      </c>
      <c r="C25">
        <v>116.33</v>
      </c>
      <c r="D25">
        <v>115</v>
      </c>
      <c r="E25">
        <v>114.81</v>
      </c>
    </row>
    <row r="26" spans="1:5" x14ac:dyDescent="0.3">
      <c r="A26" s="3">
        <v>44743</v>
      </c>
      <c r="B26">
        <v>109.46</v>
      </c>
      <c r="C26">
        <v>112.42</v>
      </c>
      <c r="D26">
        <v>108.01</v>
      </c>
      <c r="E26">
        <v>111.63</v>
      </c>
    </row>
    <row r="27" spans="1:5" x14ac:dyDescent="0.3">
      <c r="A27" s="3">
        <v>44747</v>
      </c>
      <c r="B27">
        <v>111.61</v>
      </c>
      <c r="C27">
        <v>114.69</v>
      </c>
      <c r="D27">
        <v>101.11</v>
      </c>
      <c r="E27">
        <v>102.77</v>
      </c>
    </row>
    <row r="28" spans="1:5" x14ac:dyDescent="0.3">
      <c r="A28" s="3">
        <v>44748</v>
      </c>
      <c r="B28">
        <v>104</v>
      </c>
      <c r="C28">
        <v>105.8</v>
      </c>
      <c r="D28">
        <v>98.51</v>
      </c>
      <c r="E28">
        <v>100.69</v>
      </c>
    </row>
    <row r="29" spans="1:5" x14ac:dyDescent="0.3">
      <c r="A29" s="3">
        <v>44749</v>
      </c>
      <c r="B29">
        <v>99.96</v>
      </c>
      <c r="C29">
        <v>106.35</v>
      </c>
      <c r="D29">
        <v>98.47</v>
      </c>
      <c r="E29">
        <v>104.65</v>
      </c>
    </row>
    <row r="30" spans="1:5" x14ac:dyDescent="0.3">
      <c r="A30" s="3">
        <v>44750</v>
      </c>
      <c r="B30">
        <v>104.49</v>
      </c>
      <c r="C30">
        <v>107.45</v>
      </c>
      <c r="D30">
        <v>103.75</v>
      </c>
      <c r="E30">
        <v>107.02</v>
      </c>
    </row>
    <row r="31" spans="1:5" x14ac:dyDescent="0.3">
      <c r="A31" s="3">
        <v>44753</v>
      </c>
      <c r="B31">
        <v>106.76</v>
      </c>
      <c r="C31">
        <v>107.66</v>
      </c>
      <c r="D31">
        <v>103.66</v>
      </c>
      <c r="E31">
        <v>107.1</v>
      </c>
    </row>
    <row r="32" spans="1:5" x14ac:dyDescent="0.3">
      <c r="A32" s="3">
        <v>44754</v>
      </c>
      <c r="B32">
        <v>106.23</v>
      </c>
      <c r="C32">
        <v>106.51</v>
      </c>
      <c r="D32">
        <v>98.91</v>
      </c>
      <c r="E32">
        <v>99.49</v>
      </c>
    </row>
    <row r="33" spans="1:5" x14ac:dyDescent="0.3">
      <c r="A33" s="3">
        <v>44755</v>
      </c>
      <c r="B33">
        <v>99.31</v>
      </c>
      <c r="C33">
        <v>101.2</v>
      </c>
      <c r="D33">
        <v>97.3</v>
      </c>
      <c r="E33">
        <v>99.57</v>
      </c>
    </row>
    <row r="34" spans="1:5" x14ac:dyDescent="0.3">
      <c r="A34" s="3">
        <v>44756</v>
      </c>
      <c r="B34">
        <v>99.85</v>
      </c>
      <c r="C34">
        <v>100.37</v>
      </c>
      <c r="D34">
        <v>94.5</v>
      </c>
      <c r="E34">
        <v>99.1</v>
      </c>
    </row>
    <row r="35" spans="1:5" x14ac:dyDescent="0.3">
      <c r="A35" s="3">
        <v>44757</v>
      </c>
      <c r="B35">
        <v>99.6</v>
      </c>
      <c r="C35">
        <v>102.62</v>
      </c>
      <c r="D35">
        <v>98.21</v>
      </c>
      <c r="E35">
        <v>101.16</v>
      </c>
    </row>
    <row r="36" spans="1:5" x14ac:dyDescent="0.3">
      <c r="A36" s="3">
        <v>44760</v>
      </c>
      <c r="B36">
        <v>100.92</v>
      </c>
      <c r="C36">
        <v>106.47</v>
      </c>
      <c r="D36">
        <v>99.48</v>
      </c>
      <c r="E36">
        <v>106.27</v>
      </c>
    </row>
    <row r="37" spans="1:5" x14ac:dyDescent="0.3">
      <c r="A37" s="3">
        <v>44761</v>
      </c>
      <c r="B37">
        <v>105.59</v>
      </c>
      <c r="C37">
        <v>107.6</v>
      </c>
      <c r="D37">
        <v>103.59</v>
      </c>
      <c r="E37">
        <v>107.35</v>
      </c>
    </row>
    <row r="38" spans="1:5" x14ac:dyDescent="0.3">
      <c r="A38" s="3">
        <v>44762</v>
      </c>
      <c r="B38">
        <v>107.15</v>
      </c>
      <c r="C38">
        <v>107.43</v>
      </c>
      <c r="D38">
        <v>105.09</v>
      </c>
      <c r="E38">
        <v>106.92</v>
      </c>
    </row>
    <row r="39" spans="1:5" x14ac:dyDescent="0.3">
      <c r="A39" s="3">
        <v>44763</v>
      </c>
      <c r="B39">
        <v>106.79</v>
      </c>
      <c r="C39">
        <v>106.8</v>
      </c>
      <c r="D39">
        <v>101.52</v>
      </c>
      <c r="E39">
        <v>103.86</v>
      </c>
    </row>
    <row r="40" spans="1:5" x14ac:dyDescent="0.3">
      <c r="A40" s="3">
        <v>44764</v>
      </c>
      <c r="B40">
        <v>104.25</v>
      </c>
      <c r="C40">
        <v>105.68</v>
      </c>
      <c r="D40">
        <v>101.91</v>
      </c>
      <c r="E40">
        <v>103.2</v>
      </c>
    </row>
    <row r="41" spans="1:5" x14ac:dyDescent="0.3">
      <c r="A41" s="3">
        <v>44767</v>
      </c>
      <c r="B41">
        <v>103.44</v>
      </c>
      <c r="C41">
        <v>105.35</v>
      </c>
      <c r="D41">
        <v>101.67</v>
      </c>
      <c r="E41">
        <v>105.15</v>
      </c>
    </row>
    <row r="42" spans="1:5" x14ac:dyDescent="0.3">
      <c r="A42" s="3">
        <v>44768</v>
      </c>
      <c r="B42">
        <v>104.81</v>
      </c>
      <c r="C42">
        <v>107.35</v>
      </c>
      <c r="D42">
        <v>103.98</v>
      </c>
      <c r="E42">
        <v>104.4</v>
      </c>
    </row>
    <row r="43" spans="1:5" x14ac:dyDescent="0.3">
      <c r="A43" s="3">
        <v>44769</v>
      </c>
      <c r="B43">
        <v>104.78</v>
      </c>
      <c r="C43">
        <v>107.8</v>
      </c>
      <c r="D43">
        <v>103.72</v>
      </c>
      <c r="E43">
        <v>106.62</v>
      </c>
    </row>
    <row r="44" spans="1:5" x14ac:dyDescent="0.3">
      <c r="A44" s="3">
        <v>44770</v>
      </c>
      <c r="B44">
        <v>107.49</v>
      </c>
      <c r="C44">
        <v>108.98</v>
      </c>
      <c r="D44">
        <v>105.96</v>
      </c>
      <c r="E44">
        <v>107.14</v>
      </c>
    </row>
    <row r="45" spans="1:5" x14ac:dyDescent="0.3">
      <c r="A45" s="3">
        <v>44771</v>
      </c>
      <c r="B45">
        <v>108.05</v>
      </c>
      <c r="C45">
        <v>110.43</v>
      </c>
      <c r="D45">
        <v>108.03</v>
      </c>
      <c r="E45">
        <v>110.01</v>
      </c>
    </row>
    <row r="46" spans="1:5" x14ac:dyDescent="0.3">
      <c r="A46" s="3">
        <v>44774</v>
      </c>
      <c r="B46">
        <v>103.87</v>
      </c>
      <c r="C46">
        <v>104.37</v>
      </c>
      <c r="D46">
        <v>99.1</v>
      </c>
      <c r="E46">
        <v>100.03</v>
      </c>
    </row>
    <row r="47" spans="1:5" x14ac:dyDescent="0.3">
      <c r="A47" s="3">
        <v>44775</v>
      </c>
      <c r="B47">
        <v>100</v>
      </c>
      <c r="C47">
        <v>102.41</v>
      </c>
      <c r="D47">
        <v>98.47</v>
      </c>
      <c r="E47">
        <v>100.54</v>
      </c>
    </row>
    <row r="48" spans="1:5" x14ac:dyDescent="0.3">
      <c r="A48" s="3">
        <v>44776</v>
      </c>
      <c r="B48">
        <v>99.64</v>
      </c>
      <c r="C48">
        <v>102.37</v>
      </c>
      <c r="D48">
        <v>96.48</v>
      </c>
      <c r="E48">
        <v>96.78</v>
      </c>
    </row>
    <row r="49" spans="1:5" x14ac:dyDescent="0.3">
      <c r="A49" s="3">
        <v>44777</v>
      </c>
      <c r="B49">
        <v>97.01</v>
      </c>
      <c r="C49">
        <v>97.63</v>
      </c>
      <c r="D49">
        <v>93.15</v>
      </c>
      <c r="E49">
        <v>94.12</v>
      </c>
    </row>
    <row r="50" spans="1:5" x14ac:dyDescent="0.3">
      <c r="A50" s="3">
        <v>44778</v>
      </c>
      <c r="B50">
        <v>93.59</v>
      </c>
      <c r="C50">
        <v>96.4</v>
      </c>
      <c r="D50">
        <v>92.75</v>
      </c>
      <c r="E50">
        <v>94.92</v>
      </c>
    </row>
    <row r="51" spans="1:5" x14ac:dyDescent="0.3">
      <c r="A51" s="3">
        <v>44781</v>
      </c>
      <c r="B51">
        <v>94.27</v>
      </c>
      <c r="C51">
        <v>96.73</v>
      </c>
      <c r="D51">
        <v>92.99</v>
      </c>
      <c r="E51">
        <v>96.65</v>
      </c>
    </row>
    <row r="52" spans="1:5" x14ac:dyDescent="0.3">
      <c r="A52" s="3">
        <v>44782</v>
      </c>
      <c r="B52">
        <v>96.54</v>
      </c>
      <c r="C52">
        <v>98.39</v>
      </c>
      <c r="D52">
        <v>94.91</v>
      </c>
      <c r="E52">
        <v>96.31</v>
      </c>
    </row>
    <row r="53" spans="1:5" x14ac:dyDescent="0.3">
      <c r="A53" s="3">
        <v>44783</v>
      </c>
      <c r="B53">
        <v>96.46</v>
      </c>
      <c r="C53">
        <v>97.98</v>
      </c>
      <c r="D53">
        <v>93.61</v>
      </c>
      <c r="E53">
        <v>97.4</v>
      </c>
    </row>
    <row r="54" spans="1:5" x14ac:dyDescent="0.3">
      <c r="A54" s="3">
        <v>44784</v>
      </c>
      <c r="B54">
        <v>97.27</v>
      </c>
      <c r="C54">
        <v>100.16</v>
      </c>
      <c r="D54">
        <v>96.65</v>
      </c>
      <c r="E54">
        <v>99.6</v>
      </c>
    </row>
    <row r="55" spans="1:5" x14ac:dyDescent="0.3">
      <c r="A55" s="3">
        <v>44785</v>
      </c>
      <c r="B55">
        <v>99.29</v>
      </c>
      <c r="C55">
        <v>100.35</v>
      </c>
      <c r="D55">
        <v>96.94</v>
      </c>
      <c r="E55">
        <v>98.15</v>
      </c>
    </row>
    <row r="56" spans="1:5" x14ac:dyDescent="0.3">
      <c r="A56" s="3">
        <v>44788</v>
      </c>
      <c r="B56">
        <v>97.76</v>
      </c>
      <c r="C56">
        <v>98.04</v>
      </c>
      <c r="D56">
        <v>92.72</v>
      </c>
      <c r="E56">
        <v>95.1</v>
      </c>
    </row>
    <row r="57" spans="1:5" x14ac:dyDescent="0.3">
      <c r="A57" s="3">
        <v>44789</v>
      </c>
      <c r="B57">
        <v>93.64</v>
      </c>
      <c r="C57">
        <v>95.95</v>
      </c>
      <c r="D57">
        <v>91.72</v>
      </c>
      <c r="E57">
        <v>92.34</v>
      </c>
    </row>
    <row r="58" spans="1:5" x14ac:dyDescent="0.3">
      <c r="A58" s="3">
        <v>44790</v>
      </c>
      <c r="B58">
        <v>92.77</v>
      </c>
      <c r="C58">
        <v>94.46</v>
      </c>
      <c r="D58">
        <v>91.52</v>
      </c>
      <c r="E58">
        <v>93.65</v>
      </c>
    </row>
    <row r="59" spans="1:5" x14ac:dyDescent="0.3">
      <c r="A59" s="3">
        <v>44791</v>
      </c>
      <c r="B59">
        <v>93.18</v>
      </c>
      <c r="C59">
        <v>97.41</v>
      </c>
      <c r="D59">
        <v>93.05</v>
      </c>
      <c r="E59">
        <v>96.59</v>
      </c>
    </row>
    <row r="60" spans="1:5" x14ac:dyDescent="0.3">
      <c r="A60" s="3">
        <v>44792</v>
      </c>
      <c r="B60">
        <v>96.63</v>
      </c>
      <c r="C60">
        <v>97.87</v>
      </c>
      <c r="D60">
        <v>94.25</v>
      </c>
      <c r="E60">
        <v>96.72</v>
      </c>
    </row>
    <row r="61" spans="1:5" x14ac:dyDescent="0.3">
      <c r="A61" s="3">
        <v>44795</v>
      </c>
      <c r="B61">
        <v>95.66</v>
      </c>
      <c r="C61">
        <v>97.25</v>
      </c>
      <c r="D61">
        <v>92.36</v>
      </c>
      <c r="E61">
        <v>96.48</v>
      </c>
    </row>
    <row r="62" spans="1:5" x14ac:dyDescent="0.3">
      <c r="A62" s="3">
        <v>44796</v>
      </c>
      <c r="B62">
        <v>96.58</v>
      </c>
      <c r="C62">
        <v>100.45</v>
      </c>
      <c r="D62">
        <v>96.51</v>
      </c>
      <c r="E62">
        <v>100.22</v>
      </c>
    </row>
    <row r="63" spans="1:5" x14ac:dyDescent="0.3">
      <c r="A63" s="3">
        <v>44797</v>
      </c>
      <c r="B63">
        <v>100.16</v>
      </c>
      <c r="C63">
        <v>102</v>
      </c>
      <c r="D63">
        <v>99.07</v>
      </c>
      <c r="E63">
        <v>101.22</v>
      </c>
    </row>
    <row r="64" spans="1:5" x14ac:dyDescent="0.3">
      <c r="A64" s="3">
        <v>44798</v>
      </c>
      <c r="B64">
        <v>101.6</v>
      </c>
      <c r="C64">
        <v>102.47</v>
      </c>
      <c r="D64">
        <v>99.12</v>
      </c>
      <c r="E64">
        <v>99.34</v>
      </c>
    </row>
    <row r="65" spans="1:5" x14ac:dyDescent="0.3">
      <c r="A65" s="3">
        <v>44799</v>
      </c>
      <c r="B65">
        <v>99.88</v>
      </c>
      <c r="C65">
        <v>101.17</v>
      </c>
      <c r="D65">
        <v>98.14</v>
      </c>
      <c r="E65">
        <v>100.99</v>
      </c>
    </row>
    <row r="66" spans="1:5" x14ac:dyDescent="0.3">
      <c r="A66" s="3">
        <v>44802</v>
      </c>
      <c r="B66">
        <v>100.83</v>
      </c>
      <c r="C66">
        <v>105.48</v>
      </c>
      <c r="D66">
        <v>100.29</v>
      </c>
      <c r="E66">
        <v>105.09</v>
      </c>
    </row>
    <row r="67" spans="1:5" x14ac:dyDescent="0.3">
      <c r="A67" s="3">
        <v>44803</v>
      </c>
      <c r="B67">
        <v>105</v>
      </c>
      <c r="C67">
        <v>105.37</v>
      </c>
      <c r="D67">
        <v>97.67</v>
      </c>
      <c r="E67">
        <v>99.31</v>
      </c>
    </row>
    <row r="68" spans="1:5" x14ac:dyDescent="0.3">
      <c r="A68" s="3">
        <v>44804</v>
      </c>
      <c r="B68">
        <v>99.71</v>
      </c>
      <c r="C68">
        <v>100.3</v>
      </c>
      <c r="D68">
        <v>95.76</v>
      </c>
      <c r="E68">
        <v>96.49</v>
      </c>
    </row>
    <row r="69" spans="1:5" x14ac:dyDescent="0.3">
      <c r="A69" s="3">
        <v>44805</v>
      </c>
      <c r="B69">
        <v>94.78</v>
      </c>
      <c r="C69">
        <v>95.66</v>
      </c>
      <c r="D69">
        <v>91.81</v>
      </c>
      <c r="E69">
        <v>92.36</v>
      </c>
    </row>
    <row r="70" spans="1:5" x14ac:dyDescent="0.3">
      <c r="A70" s="3">
        <v>44806</v>
      </c>
      <c r="B70">
        <v>92</v>
      </c>
      <c r="C70">
        <v>95.32</v>
      </c>
      <c r="D70">
        <v>92</v>
      </c>
      <c r="E70">
        <v>93.02</v>
      </c>
    </row>
    <row r="71" spans="1:5" x14ac:dyDescent="0.3">
      <c r="A71" s="3">
        <v>44810</v>
      </c>
      <c r="B71">
        <v>93.09</v>
      </c>
      <c r="C71">
        <v>96.99</v>
      </c>
      <c r="D71">
        <v>92.28</v>
      </c>
      <c r="E71">
        <v>92.83</v>
      </c>
    </row>
    <row r="72" spans="1:5" x14ac:dyDescent="0.3">
      <c r="A72" s="3">
        <v>44811</v>
      </c>
      <c r="B72">
        <v>92.8</v>
      </c>
      <c r="C72">
        <v>93.79</v>
      </c>
      <c r="D72">
        <v>87.4</v>
      </c>
      <c r="E72">
        <v>88</v>
      </c>
    </row>
    <row r="73" spans="1:5" x14ac:dyDescent="0.3">
      <c r="A73" s="3">
        <v>44812</v>
      </c>
      <c r="B73">
        <v>87.64</v>
      </c>
      <c r="C73">
        <v>89.83</v>
      </c>
      <c r="D73">
        <v>87.23</v>
      </c>
      <c r="E73">
        <v>89.15</v>
      </c>
    </row>
    <row r="74" spans="1:5" x14ac:dyDescent="0.3">
      <c r="A74" s="3">
        <v>44813</v>
      </c>
      <c r="B74">
        <v>88.46</v>
      </c>
      <c r="C74">
        <v>93.1</v>
      </c>
      <c r="D74">
        <v>88.32</v>
      </c>
      <c r="E74">
        <v>92.84</v>
      </c>
    </row>
    <row r="75" spans="1:5" x14ac:dyDescent="0.3">
      <c r="A75" s="3">
        <v>44816</v>
      </c>
      <c r="B75">
        <v>92.3</v>
      </c>
      <c r="C75">
        <v>95.17</v>
      </c>
      <c r="D75">
        <v>91.21</v>
      </c>
      <c r="E75">
        <v>94</v>
      </c>
    </row>
    <row r="76" spans="1:5" x14ac:dyDescent="0.3">
      <c r="A76" s="3">
        <v>44817</v>
      </c>
      <c r="B76">
        <v>94.21</v>
      </c>
      <c r="C76">
        <v>95.51</v>
      </c>
      <c r="D76">
        <v>91.07</v>
      </c>
      <c r="E76">
        <v>93.17</v>
      </c>
    </row>
    <row r="77" spans="1:5" x14ac:dyDescent="0.3">
      <c r="A77" s="3">
        <v>44818</v>
      </c>
      <c r="B77">
        <v>93.49</v>
      </c>
      <c r="C77">
        <v>95.81</v>
      </c>
      <c r="D77">
        <v>91.95</v>
      </c>
      <c r="E77">
        <v>94.1</v>
      </c>
    </row>
    <row r="78" spans="1:5" x14ac:dyDescent="0.3">
      <c r="A78" s="3">
        <v>44819</v>
      </c>
      <c r="B78">
        <v>94.43</v>
      </c>
      <c r="C78">
        <v>94.65</v>
      </c>
      <c r="D78">
        <v>90.05</v>
      </c>
      <c r="E78">
        <v>90.84</v>
      </c>
    </row>
    <row r="79" spans="1:5" x14ac:dyDescent="0.3">
      <c r="A79" s="3">
        <v>44820</v>
      </c>
      <c r="B79">
        <v>90.65</v>
      </c>
      <c r="C79">
        <v>92.64</v>
      </c>
      <c r="D79">
        <v>90.22</v>
      </c>
      <c r="E79">
        <v>91.35</v>
      </c>
    </row>
    <row r="80" spans="1:5" x14ac:dyDescent="0.3">
      <c r="A80" s="3">
        <v>44823</v>
      </c>
      <c r="B80">
        <v>91.65</v>
      </c>
      <c r="C80">
        <v>92.58</v>
      </c>
      <c r="D80">
        <v>88.48</v>
      </c>
      <c r="E80">
        <v>92</v>
      </c>
    </row>
    <row r="81" spans="1:5" x14ac:dyDescent="0.3">
      <c r="A81" s="3">
        <v>44824</v>
      </c>
      <c r="B81">
        <v>91.97</v>
      </c>
      <c r="C81">
        <v>93.02</v>
      </c>
      <c r="D81">
        <v>89.8</v>
      </c>
      <c r="E81">
        <v>90.62</v>
      </c>
    </row>
    <row r="82" spans="1:5" x14ac:dyDescent="0.3">
      <c r="A82" s="3">
        <v>44825</v>
      </c>
      <c r="B82">
        <v>90.69</v>
      </c>
      <c r="C82">
        <v>93.51</v>
      </c>
      <c r="D82">
        <v>89.3</v>
      </c>
      <c r="E82">
        <v>89.83</v>
      </c>
    </row>
    <row r="83" spans="1:5" x14ac:dyDescent="0.3">
      <c r="A83" s="3">
        <v>44826</v>
      </c>
      <c r="B83">
        <v>89.92</v>
      </c>
      <c r="C83">
        <v>92.8</v>
      </c>
      <c r="D83">
        <v>89.29</v>
      </c>
      <c r="E83">
        <v>90.46</v>
      </c>
    </row>
    <row r="84" spans="1:5" x14ac:dyDescent="0.3">
      <c r="A84" s="3">
        <v>44827</v>
      </c>
      <c r="B84">
        <v>90.35</v>
      </c>
      <c r="C84">
        <v>90.71</v>
      </c>
      <c r="D84">
        <v>85.46</v>
      </c>
      <c r="E84">
        <v>86.15</v>
      </c>
    </row>
    <row r="85" spans="1:5" x14ac:dyDescent="0.3">
      <c r="A85" s="3">
        <v>44830</v>
      </c>
      <c r="B85">
        <v>86.72</v>
      </c>
      <c r="C85">
        <v>87.66</v>
      </c>
      <c r="D85">
        <v>83.63</v>
      </c>
      <c r="E85">
        <v>84.06</v>
      </c>
    </row>
    <row r="86" spans="1:5" x14ac:dyDescent="0.3">
      <c r="A86" s="3">
        <v>44831</v>
      </c>
      <c r="B86">
        <v>83.91</v>
      </c>
      <c r="C86">
        <v>87.13</v>
      </c>
      <c r="D86">
        <v>83.91</v>
      </c>
      <c r="E86">
        <v>86.27</v>
      </c>
    </row>
    <row r="87" spans="1:5" x14ac:dyDescent="0.3">
      <c r="A87" s="3">
        <v>44832</v>
      </c>
      <c r="B87">
        <v>85.83</v>
      </c>
      <c r="C87">
        <v>89.49</v>
      </c>
      <c r="D87">
        <v>84.27</v>
      </c>
      <c r="E87">
        <v>89.32</v>
      </c>
    </row>
    <row r="88" spans="1:5" x14ac:dyDescent="0.3">
      <c r="A88" s="3">
        <v>44833</v>
      </c>
      <c r="B88">
        <v>88.95</v>
      </c>
      <c r="C88">
        <v>90.1</v>
      </c>
      <c r="D88">
        <v>87.45</v>
      </c>
      <c r="E88">
        <v>88.49</v>
      </c>
    </row>
    <row r="89" spans="1:5" x14ac:dyDescent="0.3">
      <c r="A89" s="3">
        <v>44834</v>
      </c>
      <c r="B89">
        <v>88.56</v>
      </c>
      <c r="C89">
        <v>89.52</v>
      </c>
      <c r="D89">
        <v>87.85</v>
      </c>
      <c r="E89">
        <v>87.96</v>
      </c>
    </row>
    <row r="90" spans="1:5" x14ac:dyDescent="0.3">
      <c r="A90" s="3">
        <v>44837</v>
      </c>
      <c r="B90">
        <v>86.51</v>
      </c>
      <c r="C90">
        <v>89.83</v>
      </c>
      <c r="D90">
        <v>86.51</v>
      </c>
      <c r="E90">
        <v>88.86</v>
      </c>
    </row>
    <row r="91" spans="1:5" x14ac:dyDescent="0.3">
      <c r="A91" s="3">
        <v>44838</v>
      </c>
      <c r="B91">
        <v>88.89</v>
      </c>
      <c r="C91">
        <v>92.39</v>
      </c>
      <c r="D91">
        <v>88.69</v>
      </c>
      <c r="E91">
        <v>91.8</v>
      </c>
    </row>
    <row r="92" spans="1:5" x14ac:dyDescent="0.3">
      <c r="A92" s="3">
        <v>44839</v>
      </c>
      <c r="B92">
        <v>91.65</v>
      </c>
      <c r="C92">
        <v>93.97</v>
      </c>
      <c r="D92">
        <v>90.9</v>
      </c>
      <c r="E92">
        <v>93.37</v>
      </c>
    </row>
    <row r="93" spans="1:5" x14ac:dyDescent="0.3">
      <c r="A93" s="3">
        <v>44840</v>
      </c>
      <c r="B93">
        <v>93.83</v>
      </c>
      <c r="C93">
        <v>95.01</v>
      </c>
      <c r="D93">
        <v>92.73</v>
      </c>
      <c r="E93">
        <v>94.42</v>
      </c>
    </row>
    <row r="94" spans="1:5" x14ac:dyDescent="0.3">
      <c r="A94" s="3">
        <v>44841</v>
      </c>
      <c r="B94">
        <v>94.99</v>
      </c>
      <c r="C94">
        <v>98.59</v>
      </c>
      <c r="D94">
        <v>93.93</v>
      </c>
      <c r="E94">
        <v>97.92</v>
      </c>
    </row>
    <row r="95" spans="1:5" x14ac:dyDescent="0.3">
      <c r="A95" s="3">
        <v>44844</v>
      </c>
      <c r="B95">
        <v>98.7</v>
      </c>
      <c r="C95">
        <v>98.76</v>
      </c>
      <c r="D95">
        <v>95.62</v>
      </c>
      <c r="E95">
        <v>96.19</v>
      </c>
    </row>
    <row r="96" spans="1:5" x14ac:dyDescent="0.3">
      <c r="A96" s="3">
        <v>44845</v>
      </c>
      <c r="B96">
        <v>96.15</v>
      </c>
      <c r="C96">
        <v>96.45</v>
      </c>
      <c r="D96">
        <v>93.11</v>
      </c>
      <c r="E96">
        <v>94.29</v>
      </c>
    </row>
    <row r="97" spans="1:5" x14ac:dyDescent="0.3">
      <c r="A97" s="3">
        <v>44846</v>
      </c>
      <c r="B97">
        <v>93.69</v>
      </c>
      <c r="C97">
        <v>95.17</v>
      </c>
      <c r="D97">
        <v>91.58</v>
      </c>
      <c r="E97">
        <v>92.45</v>
      </c>
    </row>
    <row r="98" spans="1:5" x14ac:dyDescent="0.3">
      <c r="A98" s="3">
        <v>44847</v>
      </c>
      <c r="B98">
        <v>92.47</v>
      </c>
      <c r="C98">
        <v>94.9</v>
      </c>
      <c r="D98">
        <v>91.09</v>
      </c>
      <c r="E98">
        <v>94.57</v>
      </c>
    </row>
    <row r="99" spans="1:5" x14ac:dyDescent="0.3">
      <c r="A99" s="3">
        <v>44848</v>
      </c>
      <c r="B99">
        <v>94.75</v>
      </c>
      <c r="C99">
        <v>95.11</v>
      </c>
      <c r="D99">
        <v>91.27</v>
      </c>
      <c r="E99">
        <v>91.63</v>
      </c>
    </row>
    <row r="100" spans="1:5" x14ac:dyDescent="0.3">
      <c r="A100" s="3">
        <v>44851</v>
      </c>
      <c r="B100">
        <v>91.71</v>
      </c>
      <c r="C100">
        <v>93.23</v>
      </c>
      <c r="D100">
        <v>90.84</v>
      </c>
      <c r="E100">
        <v>91.62</v>
      </c>
    </row>
    <row r="101" spans="1:5" x14ac:dyDescent="0.3">
      <c r="A101" s="3">
        <v>44852</v>
      </c>
      <c r="B101">
        <v>92.02</v>
      </c>
      <c r="C101">
        <v>92.65</v>
      </c>
      <c r="D101">
        <v>88.77</v>
      </c>
      <c r="E101">
        <v>90.03</v>
      </c>
    </row>
    <row r="102" spans="1:5" x14ac:dyDescent="0.3">
      <c r="A102" s="3">
        <v>44853</v>
      </c>
      <c r="B102">
        <v>90.79</v>
      </c>
      <c r="C102">
        <v>92.84</v>
      </c>
      <c r="D102">
        <v>89.38</v>
      </c>
      <c r="E102">
        <v>92.41</v>
      </c>
    </row>
    <row r="103" spans="1:5" x14ac:dyDescent="0.3">
      <c r="A103" s="3">
        <v>44854</v>
      </c>
      <c r="B103">
        <v>92.51</v>
      </c>
      <c r="C103">
        <v>94.77</v>
      </c>
      <c r="D103">
        <v>91.92</v>
      </c>
      <c r="E103">
        <v>92.38</v>
      </c>
    </row>
    <row r="104" spans="1:5" x14ac:dyDescent="0.3">
      <c r="A104" s="3">
        <v>44855</v>
      </c>
      <c r="B104">
        <v>92.79</v>
      </c>
      <c r="C104">
        <v>93.8</v>
      </c>
      <c r="D104">
        <v>91.02</v>
      </c>
      <c r="E104">
        <v>93.5</v>
      </c>
    </row>
    <row r="105" spans="1:5" x14ac:dyDescent="0.3">
      <c r="A105" s="3">
        <v>44858</v>
      </c>
      <c r="B105">
        <v>93.61</v>
      </c>
      <c r="C105">
        <v>94.44</v>
      </c>
      <c r="D105">
        <v>91.21</v>
      </c>
      <c r="E105">
        <v>93.26</v>
      </c>
    </row>
    <row r="106" spans="1:5" x14ac:dyDescent="0.3">
      <c r="A106" s="3">
        <v>44859</v>
      </c>
      <c r="B106">
        <v>93.56</v>
      </c>
      <c r="C106">
        <v>94.37</v>
      </c>
      <c r="D106">
        <v>91.63</v>
      </c>
      <c r="E106">
        <v>93.52</v>
      </c>
    </row>
    <row r="107" spans="1:5" x14ac:dyDescent="0.3">
      <c r="A107" s="3">
        <v>44860</v>
      </c>
      <c r="B107">
        <v>93.25</v>
      </c>
      <c r="C107">
        <v>96.19</v>
      </c>
      <c r="D107">
        <v>92.04</v>
      </c>
      <c r="E107">
        <v>95.69</v>
      </c>
    </row>
    <row r="108" spans="1:5" x14ac:dyDescent="0.3">
      <c r="A108" s="3">
        <v>44861</v>
      </c>
      <c r="B108">
        <v>96.16</v>
      </c>
      <c r="C108">
        <v>97.28</v>
      </c>
      <c r="D108">
        <v>95.08</v>
      </c>
      <c r="E108">
        <v>96.96</v>
      </c>
    </row>
    <row r="109" spans="1:5" x14ac:dyDescent="0.3">
      <c r="A109" s="3">
        <v>44862</v>
      </c>
      <c r="B109">
        <v>96.78</v>
      </c>
      <c r="C109">
        <v>96.89</v>
      </c>
      <c r="D109">
        <v>95</v>
      </c>
      <c r="E109">
        <v>95.77</v>
      </c>
    </row>
    <row r="110" spans="1:5" x14ac:dyDescent="0.3">
      <c r="A110" s="3">
        <v>44865</v>
      </c>
      <c r="B110">
        <v>96</v>
      </c>
      <c r="C110">
        <v>96</v>
      </c>
      <c r="D110">
        <v>94.32</v>
      </c>
      <c r="E110">
        <v>94.83</v>
      </c>
    </row>
    <row r="111" spans="1:5" x14ac:dyDescent="0.3">
      <c r="A111" s="3">
        <v>44866</v>
      </c>
      <c r="B111">
        <v>92.8</v>
      </c>
      <c r="C111">
        <v>95.55</v>
      </c>
      <c r="D111">
        <v>92.36</v>
      </c>
      <c r="E111">
        <v>94.65</v>
      </c>
    </row>
    <row r="112" spans="1:5" x14ac:dyDescent="0.3">
      <c r="A112" s="3">
        <v>44867</v>
      </c>
      <c r="B112">
        <v>94.67</v>
      </c>
      <c r="C112">
        <v>96.47</v>
      </c>
      <c r="D112">
        <v>93.99</v>
      </c>
      <c r="E112">
        <v>96.16</v>
      </c>
    </row>
    <row r="113" spans="1:5" x14ac:dyDescent="0.3">
      <c r="A113" s="3">
        <v>44868</v>
      </c>
      <c r="B113">
        <v>95.66</v>
      </c>
      <c r="C113">
        <v>95.94</v>
      </c>
      <c r="D113">
        <v>94.16</v>
      </c>
      <c r="E113">
        <v>94.67</v>
      </c>
    </row>
    <row r="114" spans="1:5" x14ac:dyDescent="0.3">
      <c r="A114" s="3">
        <v>44869</v>
      </c>
      <c r="B114">
        <v>94.48</v>
      </c>
      <c r="C114">
        <v>98.82</v>
      </c>
      <c r="D114">
        <v>94.34</v>
      </c>
      <c r="E114">
        <v>98.57</v>
      </c>
    </row>
    <row r="115" spans="1:5" x14ac:dyDescent="0.3">
      <c r="A115" s="3">
        <v>44872</v>
      </c>
      <c r="B115">
        <v>97.78</v>
      </c>
      <c r="C115">
        <v>99.56</v>
      </c>
      <c r="D115">
        <v>96.7</v>
      </c>
      <c r="E115">
        <v>97.92</v>
      </c>
    </row>
    <row r="116" spans="1:5" x14ac:dyDescent="0.3">
      <c r="A116" s="3">
        <v>44873</v>
      </c>
      <c r="B116">
        <v>98</v>
      </c>
      <c r="C116">
        <v>98.27</v>
      </c>
      <c r="D116">
        <v>94.98</v>
      </c>
      <c r="E116">
        <v>95.36</v>
      </c>
    </row>
    <row r="117" spans="1:5" x14ac:dyDescent="0.3">
      <c r="A117" s="3">
        <v>44874</v>
      </c>
      <c r="B117">
        <v>95.01</v>
      </c>
      <c r="C117">
        <v>95.69</v>
      </c>
      <c r="D117">
        <v>92.3</v>
      </c>
      <c r="E117">
        <v>92.65</v>
      </c>
    </row>
    <row r="118" spans="1:5" x14ac:dyDescent="0.3">
      <c r="A118" s="3">
        <v>44875</v>
      </c>
      <c r="B118">
        <v>92.54</v>
      </c>
      <c r="C118">
        <v>94.31</v>
      </c>
      <c r="D118">
        <v>91.69</v>
      </c>
      <c r="E118">
        <v>93.67</v>
      </c>
    </row>
    <row r="119" spans="1:5" x14ac:dyDescent="0.3">
      <c r="A119" s="3">
        <v>44876</v>
      </c>
      <c r="B119">
        <v>93.27</v>
      </c>
      <c r="C119">
        <v>96.92</v>
      </c>
      <c r="D119">
        <v>93.27</v>
      </c>
      <c r="E119">
        <v>95.99</v>
      </c>
    </row>
    <row r="120" spans="1:5" x14ac:dyDescent="0.3">
      <c r="A120" s="3">
        <v>44879</v>
      </c>
      <c r="B120">
        <v>95.97</v>
      </c>
      <c r="C120">
        <v>96.92</v>
      </c>
      <c r="D120">
        <v>92.49</v>
      </c>
      <c r="E120">
        <v>93.14</v>
      </c>
    </row>
    <row r="121" spans="1:5" x14ac:dyDescent="0.3">
      <c r="A121" s="3">
        <v>44880</v>
      </c>
      <c r="B121">
        <v>92.53</v>
      </c>
      <c r="C121">
        <v>95.75</v>
      </c>
      <c r="D121">
        <v>91.53</v>
      </c>
      <c r="E121">
        <v>93.86</v>
      </c>
    </row>
    <row r="122" spans="1:5" x14ac:dyDescent="0.3">
      <c r="A122" s="3">
        <v>44881</v>
      </c>
      <c r="B122">
        <v>93.76</v>
      </c>
      <c r="C122">
        <v>94.78</v>
      </c>
      <c r="D122">
        <v>91.68</v>
      </c>
      <c r="E122">
        <v>92.86</v>
      </c>
    </row>
    <row r="123" spans="1:5" x14ac:dyDescent="0.3">
      <c r="A123" s="3">
        <v>44882</v>
      </c>
      <c r="B123">
        <v>92.8</v>
      </c>
      <c r="C123">
        <v>92.88</v>
      </c>
      <c r="D123">
        <v>89.54</v>
      </c>
      <c r="E123">
        <v>89.78</v>
      </c>
    </row>
    <row r="124" spans="1:5" x14ac:dyDescent="0.3">
      <c r="A124" s="3">
        <v>44883</v>
      </c>
      <c r="B124">
        <v>89.98</v>
      </c>
      <c r="C124">
        <v>90.61</v>
      </c>
      <c r="D124">
        <v>85.79</v>
      </c>
      <c r="E124">
        <v>87.62</v>
      </c>
    </row>
    <row r="125" spans="1:5" x14ac:dyDescent="0.3">
      <c r="A125" s="3">
        <v>44886</v>
      </c>
      <c r="B125">
        <v>87.8</v>
      </c>
      <c r="C125">
        <v>88.04</v>
      </c>
      <c r="D125">
        <v>82.32</v>
      </c>
      <c r="E125">
        <v>87.45</v>
      </c>
    </row>
    <row r="126" spans="1:5" x14ac:dyDescent="0.3">
      <c r="A126" s="3">
        <v>44887</v>
      </c>
      <c r="B126">
        <v>87.65</v>
      </c>
      <c r="C126">
        <v>89.88</v>
      </c>
      <c r="D126">
        <v>87.37</v>
      </c>
      <c r="E126">
        <v>88.36</v>
      </c>
    </row>
    <row r="127" spans="1:5" x14ac:dyDescent="0.3">
      <c r="A127" s="3">
        <v>44888</v>
      </c>
      <c r="B127">
        <v>88.41</v>
      </c>
      <c r="C127">
        <v>89.54</v>
      </c>
      <c r="D127">
        <v>84.12</v>
      </c>
      <c r="E127">
        <v>85.41</v>
      </c>
    </row>
    <row r="128" spans="1:5" x14ac:dyDescent="0.3">
      <c r="A128" s="3">
        <v>44890</v>
      </c>
      <c r="B128">
        <v>84.94</v>
      </c>
      <c r="C128">
        <v>86.9</v>
      </c>
      <c r="D128">
        <v>83.56</v>
      </c>
      <c r="E128">
        <v>83.63</v>
      </c>
    </row>
    <row r="129" spans="1:5" x14ac:dyDescent="0.3">
      <c r="A129" s="3">
        <v>44893</v>
      </c>
      <c r="B129">
        <v>83.8</v>
      </c>
      <c r="C129">
        <v>84.05</v>
      </c>
      <c r="D129">
        <v>80.64</v>
      </c>
      <c r="E129">
        <v>83.19</v>
      </c>
    </row>
    <row r="130" spans="1:5" x14ac:dyDescent="0.3">
      <c r="A130" s="3">
        <v>44894</v>
      </c>
      <c r="B130">
        <v>82.33</v>
      </c>
      <c r="C130">
        <v>86</v>
      </c>
      <c r="D130">
        <v>82.19</v>
      </c>
      <c r="E130">
        <v>83.03</v>
      </c>
    </row>
    <row r="131" spans="1:5" x14ac:dyDescent="0.3">
      <c r="A131" s="3">
        <v>44895</v>
      </c>
      <c r="B131">
        <v>83.58</v>
      </c>
      <c r="C131">
        <v>85.82</v>
      </c>
      <c r="D131">
        <v>83.51</v>
      </c>
      <c r="E131">
        <v>85.43</v>
      </c>
    </row>
    <row r="132" spans="1:5" x14ac:dyDescent="0.3">
      <c r="A132" s="3">
        <v>44896</v>
      </c>
      <c r="B132">
        <v>86.6</v>
      </c>
      <c r="C132">
        <v>89.41</v>
      </c>
      <c r="D132">
        <v>86.25</v>
      </c>
      <c r="E132">
        <v>86.88</v>
      </c>
    </row>
    <row r="133" spans="1:5" x14ac:dyDescent="0.3">
      <c r="A133" s="3">
        <v>44897</v>
      </c>
      <c r="B133">
        <v>87.13</v>
      </c>
      <c r="C133">
        <v>87.89</v>
      </c>
      <c r="D133">
        <v>85.19</v>
      </c>
      <c r="E133">
        <v>85.57</v>
      </c>
    </row>
    <row r="134" spans="1:5" x14ac:dyDescent="0.3">
      <c r="A134" s="3">
        <v>44900</v>
      </c>
      <c r="B134">
        <v>85.52</v>
      </c>
      <c r="C134">
        <v>88.43</v>
      </c>
      <c r="D134">
        <v>82.54</v>
      </c>
      <c r="E134">
        <v>82.68</v>
      </c>
    </row>
    <row r="135" spans="1:5" x14ac:dyDescent="0.3">
      <c r="A135" s="3">
        <v>44901</v>
      </c>
      <c r="B135">
        <v>83.09</v>
      </c>
      <c r="C135">
        <v>83.67</v>
      </c>
      <c r="D135">
        <v>78.709999999999994</v>
      </c>
      <c r="E135">
        <v>79.349999999999994</v>
      </c>
    </row>
    <row r="136" spans="1:5" x14ac:dyDescent="0.3">
      <c r="A136" s="3">
        <v>44902</v>
      </c>
      <c r="B136">
        <v>79.790000000000006</v>
      </c>
      <c r="C136">
        <v>80.48</v>
      </c>
      <c r="D136">
        <v>76.94</v>
      </c>
      <c r="E136">
        <v>77.17</v>
      </c>
    </row>
    <row r="137" spans="1:5" x14ac:dyDescent="0.3">
      <c r="A137" s="3">
        <v>44903</v>
      </c>
      <c r="B137">
        <v>77.489999999999995</v>
      </c>
      <c r="C137">
        <v>79.180000000000007</v>
      </c>
      <c r="D137">
        <v>75.760000000000005</v>
      </c>
      <c r="E137">
        <v>76.150000000000006</v>
      </c>
    </row>
    <row r="138" spans="1:5" x14ac:dyDescent="0.3">
      <c r="A138" s="3">
        <v>44904</v>
      </c>
      <c r="B138">
        <v>76.73</v>
      </c>
      <c r="C138">
        <v>77.47</v>
      </c>
      <c r="D138">
        <v>75.11</v>
      </c>
      <c r="E138">
        <v>76.099999999999994</v>
      </c>
    </row>
    <row r="139" spans="1:5" x14ac:dyDescent="0.3">
      <c r="A139" s="3">
        <v>44907</v>
      </c>
      <c r="B139">
        <v>76.67</v>
      </c>
      <c r="C139">
        <v>78.58</v>
      </c>
      <c r="D139">
        <v>75.260000000000005</v>
      </c>
      <c r="E139">
        <v>77.989999999999995</v>
      </c>
    </row>
    <row r="140" spans="1:5" x14ac:dyDescent="0.3">
      <c r="A140" s="3">
        <v>44908</v>
      </c>
      <c r="B140">
        <v>78.19</v>
      </c>
      <c r="C140">
        <v>81.28</v>
      </c>
      <c r="D140">
        <v>78.040000000000006</v>
      </c>
      <c r="E140">
        <v>80.680000000000007</v>
      </c>
    </row>
    <row r="141" spans="1:5" x14ac:dyDescent="0.3">
      <c r="A141" s="3">
        <v>44909</v>
      </c>
      <c r="B141">
        <v>80.34</v>
      </c>
      <c r="C141">
        <v>83.14</v>
      </c>
      <c r="D141">
        <v>80.13</v>
      </c>
      <c r="E141">
        <v>82.7</v>
      </c>
    </row>
    <row r="142" spans="1:5" x14ac:dyDescent="0.3">
      <c r="A142" s="3">
        <v>44910</v>
      </c>
      <c r="B142">
        <v>82.84</v>
      </c>
      <c r="C142">
        <v>83.19</v>
      </c>
      <c r="D142">
        <v>80.83</v>
      </c>
      <c r="E142">
        <v>81.209999999999994</v>
      </c>
    </row>
    <row r="143" spans="1:5" x14ac:dyDescent="0.3">
      <c r="A143" s="3">
        <v>44911</v>
      </c>
      <c r="B143">
        <v>81.34</v>
      </c>
      <c r="C143">
        <v>81.760000000000005</v>
      </c>
      <c r="D143">
        <v>78.28</v>
      </c>
      <c r="E143">
        <v>79.040000000000006</v>
      </c>
    </row>
    <row r="144" spans="1:5" x14ac:dyDescent="0.3">
      <c r="A144" s="3">
        <v>44914</v>
      </c>
      <c r="B144">
        <v>79.09</v>
      </c>
      <c r="C144">
        <v>80.89</v>
      </c>
      <c r="D144">
        <v>78.63</v>
      </c>
      <c r="E144">
        <v>79.8</v>
      </c>
    </row>
    <row r="145" spans="1:5" x14ac:dyDescent="0.3">
      <c r="A145" s="3">
        <v>44915</v>
      </c>
      <c r="B145">
        <v>80.28</v>
      </c>
      <c r="C145">
        <v>80.900000000000006</v>
      </c>
      <c r="D145">
        <v>78.3</v>
      </c>
      <c r="E145">
        <v>79.989999999999995</v>
      </c>
    </row>
    <row r="146" spans="1:5" x14ac:dyDescent="0.3">
      <c r="A146" s="3">
        <v>44916</v>
      </c>
      <c r="B146">
        <v>79.95</v>
      </c>
      <c r="C146">
        <v>82.54</v>
      </c>
      <c r="D146">
        <v>79.599999999999994</v>
      </c>
      <c r="E146">
        <v>82.2</v>
      </c>
    </row>
    <row r="147" spans="1:5" x14ac:dyDescent="0.3">
      <c r="A147" s="3">
        <v>44917</v>
      </c>
      <c r="B147">
        <v>82.37</v>
      </c>
      <c r="C147">
        <v>83.86</v>
      </c>
      <c r="D147">
        <v>80.680000000000007</v>
      </c>
      <c r="E147">
        <v>80.98</v>
      </c>
    </row>
    <row r="148" spans="1:5" x14ac:dyDescent="0.3">
      <c r="A148" s="3">
        <v>44918</v>
      </c>
      <c r="B148">
        <v>81.73</v>
      </c>
      <c r="C148">
        <v>84.37</v>
      </c>
      <c r="D148">
        <v>81.34</v>
      </c>
      <c r="E148">
        <v>83.92</v>
      </c>
    </row>
    <row r="149" spans="1:5" x14ac:dyDescent="0.3">
      <c r="A149" s="3">
        <v>44922</v>
      </c>
      <c r="B149">
        <v>84.46</v>
      </c>
      <c r="C149">
        <v>85.67</v>
      </c>
      <c r="D149">
        <v>83.66</v>
      </c>
      <c r="E149">
        <v>84.33</v>
      </c>
    </row>
    <row r="150" spans="1:5" x14ac:dyDescent="0.3">
      <c r="A150" s="3">
        <v>44923</v>
      </c>
      <c r="B150">
        <v>84.6</v>
      </c>
      <c r="C150">
        <v>84.64</v>
      </c>
      <c r="D150">
        <v>81.95</v>
      </c>
      <c r="E150">
        <v>83.26</v>
      </c>
    </row>
    <row r="151" spans="1:5" x14ac:dyDescent="0.3">
      <c r="A151" s="3">
        <v>44924</v>
      </c>
      <c r="B151">
        <v>82.86</v>
      </c>
      <c r="C151">
        <v>82.91</v>
      </c>
      <c r="D151">
        <v>81.3</v>
      </c>
      <c r="E151">
        <v>82.26</v>
      </c>
    </row>
    <row r="152" spans="1:5" x14ac:dyDescent="0.3">
      <c r="A152" s="3">
        <v>44925</v>
      </c>
      <c r="B152">
        <v>83.66</v>
      </c>
      <c r="C152">
        <v>86.28</v>
      </c>
      <c r="D152">
        <v>82.88</v>
      </c>
      <c r="E152">
        <v>85.91</v>
      </c>
    </row>
    <row r="153" spans="1:5" x14ac:dyDescent="0.3">
      <c r="A153" s="3">
        <v>44929</v>
      </c>
      <c r="B153">
        <v>86.04</v>
      </c>
      <c r="C153">
        <v>87.02</v>
      </c>
      <c r="D153">
        <v>81.77</v>
      </c>
      <c r="E153">
        <v>82.1</v>
      </c>
    </row>
    <row r="154" spans="1:5" x14ac:dyDescent="0.3">
      <c r="A154" s="3">
        <v>44930</v>
      </c>
      <c r="B154">
        <v>82.23</v>
      </c>
      <c r="C154">
        <v>82.67</v>
      </c>
      <c r="D154">
        <v>77.72</v>
      </c>
      <c r="E154">
        <v>77.84</v>
      </c>
    </row>
    <row r="155" spans="1:5" x14ac:dyDescent="0.3">
      <c r="A155" s="3">
        <v>44931</v>
      </c>
      <c r="B155">
        <v>78.09</v>
      </c>
      <c r="C155">
        <v>79.959999999999994</v>
      </c>
      <c r="D155">
        <v>77.61</v>
      </c>
      <c r="E155">
        <v>78.69</v>
      </c>
    </row>
    <row r="156" spans="1:5" x14ac:dyDescent="0.3">
      <c r="A156" s="3">
        <v>44932</v>
      </c>
      <c r="B156">
        <v>78.81</v>
      </c>
      <c r="C156">
        <v>80.569999999999993</v>
      </c>
      <c r="D156">
        <v>78.05</v>
      </c>
      <c r="E156">
        <v>78.569999999999993</v>
      </c>
    </row>
    <row r="157" spans="1:5" x14ac:dyDescent="0.3">
      <c r="A157" s="3">
        <v>44935</v>
      </c>
      <c r="B157">
        <v>78.48</v>
      </c>
      <c r="C157">
        <v>81.37</v>
      </c>
      <c r="D157">
        <v>78.34</v>
      </c>
      <c r="E157">
        <v>79.650000000000006</v>
      </c>
    </row>
    <row r="158" spans="1:5" x14ac:dyDescent="0.3">
      <c r="A158" s="3">
        <v>44936</v>
      </c>
      <c r="B158">
        <v>79.709999999999994</v>
      </c>
      <c r="C158">
        <v>80.88</v>
      </c>
      <c r="D158">
        <v>78.81</v>
      </c>
      <c r="E158">
        <v>80.099999999999994</v>
      </c>
    </row>
    <row r="159" spans="1:5" x14ac:dyDescent="0.3">
      <c r="A159" s="3">
        <v>44937</v>
      </c>
      <c r="B159">
        <v>79.59</v>
      </c>
      <c r="C159">
        <v>82.97</v>
      </c>
      <c r="D159">
        <v>79.3</v>
      </c>
      <c r="E159">
        <v>82.67</v>
      </c>
    </row>
    <row r="160" spans="1:5" x14ac:dyDescent="0.3">
      <c r="A160" s="3">
        <v>44938</v>
      </c>
      <c r="B160">
        <v>82.86</v>
      </c>
      <c r="C160">
        <v>84.61</v>
      </c>
      <c r="D160">
        <v>82.38</v>
      </c>
      <c r="E160">
        <v>84.03</v>
      </c>
    </row>
    <row r="161" spans="1:5" x14ac:dyDescent="0.3">
      <c r="A161" s="3">
        <v>44939</v>
      </c>
      <c r="B161">
        <v>83.95</v>
      </c>
      <c r="C161">
        <v>85.49</v>
      </c>
      <c r="D161">
        <v>83.49</v>
      </c>
      <c r="E161">
        <v>85.28</v>
      </c>
    </row>
    <row r="162" spans="1:5" x14ac:dyDescent="0.3">
      <c r="A162" s="3">
        <v>44943</v>
      </c>
      <c r="B162">
        <v>85.44</v>
      </c>
      <c r="C162">
        <v>86.82</v>
      </c>
      <c r="D162">
        <v>83.86</v>
      </c>
      <c r="E162">
        <v>85.92</v>
      </c>
    </row>
    <row r="163" spans="1:5" x14ac:dyDescent="0.3">
      <c r="A163" s="3">
        <v>44944</v>
      </c>
      <c r="B163">
        <v>86.72</v>
      </c>
      <c r="C163">
        <v>87.84</v>
      </c>
      <c r="D163">
        <v>84.4</v>
      </c>
      <c r="E163">
        <v>84.98</v>
      </c>
    </row>
    <row r="164" spans="1:5" x14ac:dyDescent="0.3">
      <c r="A164" s="3">
        <v>44945</v>
      </c>
      <c r="B164">
        <v>84.59</v>
      </c>
      <c r="C164">
        <v>86.85</v>
      </c>
      <c r="D164">
        <v>83.74</v>
      </c>
      <c r="E164">
        <v>86.16</v>
      </c>
    </row>
    <row r="165" spans="1:5" x14ac:dyDescent="0.3">
      <c r="A165" s="3">
        <v>44946</v>
      </c>
      <c r="B165">
        <v>86.36</v>
      </c>
      <c r="C165">
        <v>87.77</v>
      </c>
      <c r="D165">
        <v>85.58</v>
      </c>
      <c r="E165">
        <v>87.63</v>
      </c>
    </row>
    <row r="166" spans="1:5" x14ac:dyDescent="0.3">
      <c r="A166" s="3">
        <v>44949</v>
      </c>
      <c r="B166">
        <v>87.81</v>
      </c>
      <c r="C166">
        <v>89.1</v>
      </c>
      <c r="D166">
        <v>86.93</v>
      </c>
      <c r="E166">
        <v>88.19</v>
      </c>
    </row>
    <row r="167" spans="1:5" x14ac:dyDescent="0.3">
      <c r="A167" s="3">
        <v>44950</v>
      </c>
      <c r="B167">
        <v>88.03</v>
      </c>
      <c r="C167">
        <v>88.71</v>
      </c>
      <c r="D167">
        <v>85.81</v>
      </c>
      <c r="E167">
        <v>86.13</v>
      </c>
    </row>
    <row r="168" spans="1:5" x14ac:dyDescent="0.3">
      <c r="A168" s="3">
        <v>44951</v>
      </c>
      <c r="B168">
        <v>86.3</v>
      </c>
      <c r="C168">
        <v>87.01</v>
      </c>
      <c r="D168">
        <v>85.41</v>
      </c>
      <c r="E168">
        <v>86.12</v>
      </c>
    </row>
    <row r="169" spans="1:5" x14ac:dyDescent="0.3">
      <c r="A169" s="3">
        <v>44952</v>
      </c>
      <c r="B169">
        <v>86.13</v>
      </c>
      <c r="C169">
        <v>88.01</v>
      </c>
      <c r="D169">
        <v>85.78</v>
      </c>
      <c r="E169">
        <v>87.47</v>
      </c>
    </row>
    <row r="170" spans="1:5" x14ac:dyDescent="0.3">
      <c r="A170" s="3">
        <v>44953</v>
      </c>
      <c r="B170">
        <v>87.6</v>
      </c>
      <c r="C170">
        <v>88.91</v>
      </c>
      <c r="D170">
        <v>85.68</v>
      </c>
      <c r="E170">
        <v>86.66</v>
      </c>
    </row>
    <row r="171" spans="1:5" x14ac:dyDescent="0.3">
      <c r="A171" s="3">
        <v>44956</v>
      </c>
      <c r="B171">
        <v>86.8</v>
      </c>
      <c r="C171">
        <v>87.37</v>
      </c>
      <c r="D171">
        <v>84.75</v>
      </c>
      <c r="E171">
        <v>84.9</v>
      </c>
    </row>
    <row r="172" spans="1:5" x14ac:dyDescent="0.3">
      <c r="A172" s="3">
        <v>44957</v>
      </c>
      <c r="B172">
        <v>85.16</v>
      </c>
      <c r="C172">
        <v>85.16</v>
      </c>
      <c r="D172">
        <v>83.69</v>
      </c>
      <c r="E172">
        <v>84.49</v>
      </c>
    </row>
    <row r="173" spans="1:5" x14ac:dyDescent="0.3">
      <c r="A173" s="3">
        <v>44958</v>
      </c>
      <c r="B173">
        <v>85.52</v>
      </c>
      <c r="C173">
        <v>86.2</v>
      </c>
      <c r="D173">
        <v>82.37</v>
      </c>
      <c r="E173">
        <v>82.84</v>
      </c>
    </row>
    <row r="174" spans="1:5" x14ac:dyDescent="0.3">
      <c r="A174" s="3">
        <v>44959</v>
      </c>
      <c r="B174">
        <v>83.09</v>
      </c>
      <c r="C174">
        <v>83.6</v>
      </c>
      <c r="D174">
        <v>81.239999999999995</v>
      </c>
      <c r="E174">
        <v>82.17</v>
      </c>
    </row>
    <row r="175" spans="1:5" x14ac:dyDescent="0.3">
      <c r="A175" s="3">
        <v>44960</v>
      </c>
      <c r="B175">
        <v>82.15</v>
      </c>
      <c r="C175">
        <v>84.19</v>
      </c>
      <c r="D175">
        <v>79.62</v>
      </c>
      <c r="E175">
        <v>79.94</v>
      </c>
    </row>
    <row r="176" spans="1:5" x14ac:dyDescent="0.3">
      <c r="A176" s="3">
        <v>44963</v>
      </c>
      <c r="B176">
        <v>79.75</v>
      </c>
      <c r="C176">
        <v>81.400000000000006</v>
      </c>
      <c r="D176">
        <v>79.09</v>
      </c>
      <c r="E176">
        <v>80.989999999999995</v>
      </c>
    </row>
    <row r="177" spans="1:5" x14ac:dyDescent="0.3">
      <c r="A177" s="3">
        <v>44964</v>
      </c>
      <c r="B177">
        <v>81.400000000000006</v>
      </c>
      <c r="C177">
        <v>84.1</v>
      </c>
      <c r="D177">
        <v>81.180000000000007</v>
      </c>
      <c r="E177">
        <v>83.69</v>
      </c>
    </row>
    <row r="178" spans="1:5" x14ac:dyDescent="0.3">
      <c r="A178" s="3">
        <v>44965</v>
      </c>
      <c r="B178">
        <v>84.03</v>
      </c>
      <c r="C178">
        <v>85.16</v>
      </c>
      <c r="D178">
        <v>83.5</v>
      </c>
      <c r="E178">
        <v>85.09</v>
      </c>
    </row>
    <row r="179" spans="1:5" x14ac:dyDescent="0.3">
      <c r="A179" s="3">
        <v>44966</v>
      </c>
      <c r="B179">
        <v>85.07</v>
      </c>
      <c r="C179">
        <v>85.5</v>
      </c>
      <c r="D179">
        <v>83.06</v>
      </c>
      <c r="E179">
        <v>84.5</v>
      </c>
    </row>
    <row r="180" spans="1:5" x14ac:dyDescent="0.3">
      <c r="A180" s="3">
        <v>44967</v>
      </c>
      <c r="B180">
        <v>84.23</v>
      </c>
      <c r="C180">
        <v>86.91</v>
      </c>
      <c r="D180">
        <v>83.94</v>
      </c>
      <c r="E180">
        <v>86.39</v>
      </c>
    </row>
    <row r="181" spans="1:5" x14ac:dyDescent="0.3">
      <c r="A181" s="3">
        <v>44970</v>
      </c>
      <c r="B181">
        <v>86.6</v>
      </c>
      <c r="C181">
        <v>86.95</v>
      </c>
      <c r="D181">
        <v>85.09</v>
      </c>
      <c r="E181">
        <v>86.61</v>
      </c>
    </row>
    <row r="182" spans="1:5" x14ac:dyDescent="0.3">
      <c r="A182" s="3">
        <v>44971</v>
      </c>
      <c r="B182">
        <v>85.75</v>
      </c>
      <c r="C182">
        <v>86.4</v>
      </c>
      <c r="D182">
        <v>84.12</v>
      </c>
      <c r="E182">
        <v>85.58</v>
      </c>
    </row>
    <row r="183" spans="1:5" x14ac:dyDescent="0.3">
      <c r="A183" s="3">
        <v>44972</v>
      </c>
      <c r="B183">
        <v>85.29</v>
      </c>
      <c r="C183">
        <v>85.85</v>
      </c>
      <c r="D183">
        <v>83.9</v>
      </c>
      <c r="E183">
        <v>85.38</v>
      </c>
    </row>
    <row r="184" spans="1:5" x14ac:dyDescent="0.3">
      <c r="A184" s="3">
        <v>44973</v>
      </c>
      <c r="B184">
        <v>85.14</v>
      </c>
      <c r="C184">
        <v>86.2</v>
      </c>
      <c r="D184">
        <v>84.6</v>
      </c>
      <c r="E184">
        <v>85.14</v>
      </c>
    </row>
    <row r="185" spans="1:5" x14ac:dyDescent="0.3">
      <c r="A185" s="3">
        <v>44974</v>
      </c>
      <c r="B185">
        <v>84.67</v>
      </c>
      <c r="C185">
        <v>84.85</v>
      </c>
      <c r="D185">
        <v>81.790000000000006</v>
      </c>
      <c r="E185">
        <v>83</v>
      </c>
    </row>
    <row r="186" spans="1:5" x14ac:dyDescent="0.3">
      <c r="A186" s="3">
        <v>44978</v>
      </c>
      <c r="B186">
        <v>83.01</v>
      </c>
      <c r="C186">
        <v>84.29</v>
      </c>
      <c r="D186">
        <v>82.54</v>
      </c>
      <c r="E186">
        <v>83.05</v>
      </c>
    </row>
    <row r="187" spans="1:5" x14ac:dyDescent="0.3">
      <c r="A187" s="3">
        <v>44979</v>
      </c>
      <c r="B187">
        <v>82.74</v>
      </c>
      <c r="C187">
        <v>83.23</v>
      </c>
      <c r="D187">
        <v>80.400000000000006</v>
      </c>
      <c r="E187">
        <v>80.599999999999994</v>
      </c>
    </row>
    <row r="188" spans="1:5" x14ac:dyDescent="0.3">
      <c r="A188" s="3">
        <v>44980</v>
      </c>
      <c r="B188">
        <v>80.47</v>
      </c>
      <c r="C188">
        <v>82.75</v>
      </c>
      <c r="D188">
        <v>80.34</v>
      </c>
      <c r="E188">
        <v>82.21</v>
      </c>
    </row>
    <row r="189" spans="1:5" x14ac:dyDescent="0.3">
      <c r="A189" s="3">
        <v>44981</v>
      </c>
      <c r="B189">
        <v>82.35</v>
      </c>
      <c r="C189">
        <v>83.38</v>
      </c>
      <c r="D189">
        <v>81.069999999999993</v>
      </c>
      <c r="E189">
        <v>83.16</v>
      </c>
    </row>
    <row r="190" spans="1:5" x14ac:dyDescent="0.3">
      <c r="A190" s="3">
        <v>44984</v>
      </c>
      <c r="B190">
        <v>83.12</v>
      </c>
      <c r="C190">
        <v>83.63</v>
      </c>
      <c r="D190">
        <v>81.739999999999995</v>
      </c>
      <c r="E190">
        <v>82.45</v>
      </c>
    </row>
    <row r="191" spans="1:5" x14ac:dyDescent="0.3">
      <c r="A191" s="3">
        <v>44985</v>
      </c>
      <c r="B191">
        <v>82.64</v>
      </c>
      <c r="C191">
        <v>84.12</v>
      </c>
      <c r="D191">
        <v>82.61</v>
      </c>
      <c r="E191">
        <v>83.89</v>
      </c>
    </row>
    <row r="192" spans="1:5" x14ac:dyDescent="0.3">
      <c r="A192" s="3">
        <v>44986</v>
      </c>
      <c r="B192">
        <v>83.1</v>
      </c>
      <c r="C192">
        <v>84.49</v>
      </c>
      <c r="D192">
        <v>82.61</v>
      </c>
      <c r="E192">
        <v>84.31</v>
      </c>
    </row>
    <row r="193" spans="1:5" x14ac:dyDescent="0.3">
      <c r="A193" s="3">
        <v>44987</v>
      </c>
      <c r="B193">
        <v>84.31</v>
      </c>
      <c r="C193">
        <v>85.09</v>
      </c>
      <c r="D193">
        <v>83.84</v>
      </c>
      <c r="E193">
        <v>84.75</v>
      </c>
    </row>
    <row r="194" spans="1:5" x14ac:dyDescent="0.3">
      <c r="A194" s="3">
        <v>44988</v>
      </c>
      <c r="B194">
        <v>84.41</v>
      </c>
      <c r="C194">
        <v>86</v>
      </c>
      <c r="D194">
        <v>82.36</v>
      </c>
      <c r="E194">
        <v>85.83</v>
      </c>
    </row>
    <row r="195" spans="1:5" x14ac:dyDescent="0.3">
      <c r="A195" s="3">
        <v>44991</v>
      </c>
      <c r="B195">
        <v>85.93</v>
      </c>
      <c r="C195">
        <v>86.36</v>
      </c>
      <c r="D195">
        <v>84.35</v>
      </c>
      <c r="E195">
        <v>86.18</v>
      </c>
    </row>
    <row r="196" spans="1:5" x14ac:dyDescent="0.3">
      <c r="A196" s="3">
        <v>44992</v>
      </c>
      <c r="B196">
        <v>86.23</v>
      </c>
      <c r="C196">
        <v>86.76</v>
      </c>
      <c r="D196">
        <v>82.65</v>
      </c>
      <c r="E196">
        <v>83.29</v>
      </c>
    </row>
    <row r="197" spans="1:5" x14ac:dyDescent="0.3">
      <c r="A197" s="3">
        <v>44993</v>
      </c>
      <c r="B197">
        <v>82.98</v>
      </c>
      <c r="C197">
        <v>83.59</v>
      </c>
      <c r="D197">
        <v>82.05</v>
      </c>
      <c r="E197">
        <v>82.66</v>
      </c>
    </row>
    <row r="198" spans="1:5" x14ac:dyDescent="0.3">
      <c r="A198" s="3">
        <v>44994</v>
      </c>
      <c r="B198">
        <v>82.62</v>
      </c>
      <c r="C198">
        <v>84.01</v>
      </c>
      <c r="D198">
        <v>81.41</v>
      </c>
      <c r="E198">
        <v>81.59</v>
      </c>
    </row>
    <row r="199" spans="1:5" x14ac:dyDescent="0.3">
      <c r="A199" s="3">
        <v>44995</v>
      </c>
      <c r="B199">
        <v>81.47</v>
      </c>
      <c r="C199">
        <v>83.08</v>
      </c>
      <c r="D199">
        <v>80.73</v>
      </c>
      <c r="E199">
        <v>82.78</v>
      </c>
    </row>
    <row r="200" spans="1:5" x14ac:dyDescent="0.3">
      <c r="A200" s="3">
        <v>44998</v>
      </c>
      <c r="B200">
        <v>82.54</v>
      </c>
      <c r="C200">
        <v>83.47</v>
      </c>
      <c r="D200">
        <v>78.34</v>
      </c>
      <c r="E200">
        <v>80.77</v>
      </c>
    </row>
    <row r="201" spans="1:5" x14ac:dyDescent="0.3">
      <c r="A201" s="3">
        <v>44999</v>
      </c>
      <c r="B201">
        <v>80.69</v>
      </c>
      <c r="C201">
        <v>80.88</v>
      </c>
      <c r="D201">
        <v>76.88</v>
      </c>
      <c r="E201">
        <v>77.45</v>
      </c>
    </row>
    <row r="202" spans="1:5" x14ac:dyDescent="0.3">
      <c r="A202" s="3">
        <v>45000</v>
      </c>
      <c r="B202">
        <v>77.569999999999993</v>
      </c>
      <c r="C202">
        <v>78.709999999999994</v>
      </c>
      <c r="D202">
        <v>71.63</v>
      </c>
      <c r="E202">
        <v>73.69</v>
      </c>
    </row>
    <row r="203" spans="1:5" x14ac:dyDescent="0.3">
      <c r="A203" s="3">
        <v>45001</v>
      </c>
      <c r="B203">
        <v>74.349999999999994</v>
      </c>
      <c r="C203">
        <v>75.52</v>
      </c>
      <c r="D203">
        <v>71.86</v>
      </c>
      <c r="E203">
        <v>74.7</v>
      </c>
    </row>
    <row r="204" spans="1:5" x14ac:dyDescent="0.3">
      <c r="A204" s="3">
        <v>45002</v>
      </c>
      <c r="B204">
        <v>74.55</v>
      </c>
      <c r="C204">
        <v>75.900000000000006</v>
      </c>
      <c r="D204">
        <v>71.349999999999994</v>
      </c>
      <c r="E204">
        <v>72.97</v>
      </c>
    </row>
    <row r="205" spans="1:5" x14ac:dyDescent="0.3">
      <c r="A205" s="3">
        <v>45005</v>
      </c>
      <c r="B205">
        <v>72.89</v>
      </c>
      <c r="C205">
        <v>73.849999999999994</v>
      </c>
      <c r="D205">
        <v>70.13</v>
      </c>
      <c r="E205">
        <v>73.790000000000006</v>
      </c>
    </row>
    <row r="206" spans="1:5" x14ac:dyDescent="0.3">
      <c r="A206" s="3">
        <v>45006</v>
      </c>
      <c r="B206">
        <v>73.739999999999995</v>
      </c>
      <c r="C206">
        <v>75.400000000000006</v>
      </c>
      <c r="D206">
        <v>72.81</v>
      </c>
      <c r="E206">
        <v>75.319999999999993</v>
      </c>
    </row>
    <row r="207" spans="1:5" x14ac:dyDescent="0.3">
      <c r="A207" s="3">
        <v>45007</v>
      </c>
      <c r="B207">
        <v>75.09</v>
      </c>
      <c r="C207">
        <v>77.09</v>
      </c>
      <c r="D207">
        <v>74.52</v>
      </c>
      <c r="E207">
        <v>76.69</v>
      </c>
    </row>
    <row r="208" spans="1:5" x14ac:dyDescent="0.3">
      <c r="A208" s="3">
        <v>45008</v>
      </c>
      <c r="B208">
        <v>75.739999999999995</v>
      </c>
      <c r="C208">
        <v>77.430000000000007</v>
      </c>
      <c r="D208">
        <v>75.12</v>
      </c>
      <c r="E208">
        <v>75.91</v>
      </c>
    </row>
    <row r="209" spans="1:5" x14ac:dyDescent="0.3">
      <c r="A209" s="3">
        <v>45009</v>
      </c>
      <c r="B209">
        <v>75.42</v>
      </c>
      <c r="C209">
        <v>76.28</v>
      </c>
      <c r="D209">
        <v>72.69</v>
      </c>
      <c r="E209">
        <v>74.989999999999995</v>
      </c>
    </row>
    <row r="210" spans="1:5" x14ac:dyDescent="0.3">
      <c r="A210" s="3">
        <v>45012</v>
      </c>
      <c r="B210">
        <v>75.239999999999995</v>
      </c>
      <c r="C210">
        <v>78.430000000000007</v>
      </c>
      <c r="D210">
        <v>74.8</v>
      </c>
      <c r="E210">
        <v>78.12</v>
      </c>
    </row>
    <row r="211" spans="1:5" x14ac:dyDescent="0.3">
      <c r="A211" s="3">
        <v>45013</v>
      </c>
      <c r="B211">
        <v>78.180000000000007</v>
      </c>
      <c r="C211">
        <v>79.209999999999994</v>
      </c>
      <c r="D211">
        <v>77.55</v>
      </c>
      <c r="E211">
        <v>78.650000000000006</v>
      </c>
    </row>
    <row r="212" spans="1:5" x14ac:dyDescent="0.3">
      <c r="A212" s="3">
        <v>45014</v>
      </c>
      <c r="B212">
        <v>79.02</v>
      </c>
      <c r="C212">
        <v>79.7</v>
      </c>
      <c r="D212">
        <v>77.95</v>
      </c>
      <c r="E212">
        <v>78.28</v>
      </c>
    </row>
    <row r="213" spans="1:5" x14ac:dyDescent="0.3">
      <c r="A213" s="3">
        <v>45015</v>
      </c>
      <c r="B213">
        <v>78.22</v>
      </c>
      <c r="C213">
        <v>79.55</v>
      </c>
      <c r="D213">
        <v>77.849999999999994</v>
      </c>
      <c r="E213">
        <v>79.27</v>
      </c>
    </row>
    <row r="214" spans="1:5" x14ac:dyDescent="0.3">
      <c r="A214" s="3">
        <v>45016</v>
      </c>
      <c r="B214">
        <v>79.28</v>
      </c>
      <c r="C214">
        <v>79.77</v>
      </c>
      <c r="D214">
        <v>79.069999999999993</v>
      </c>
      <c r="E214">
        <v>79.77</v>
      </c>
    </row>
    <row r="215" spans="1:5" x14ac:dyDescent="0.3">
      <c r="A215" s="3">
        <v>45019</v>
      </c>
      <c r="B215">
        <v>83.29</v>
      </c>
      <c r="C215">
        <v>86.24</v>
      </c>
      <c r="D215">
        <v>83.29</v>
      </c>
      <c r="E215">
        <v>84.93</v>
      </c>
    </row>
    <row r="216" spans="1:5" x14ac:dyDescent="0.3">
      <c r="A216" s="3">
        <v>45020</v>
      </c>
      <c r="B216">
        <v>84.78</v>
      </c>
      <c r="C216">
        <v>86.05</v>
      </c>
      <c r="D216">
        <v>83.87</v>
      </c>
      <c r="E216">
        <v>84.94</v>
      </c>
    </row>
    <row r="217" spans="1:5" x14ac:dyDescent="0.3">
      <c r="A217" s="3">
        <v>45021</v>
      </c>
      <c r="B217">
        <v>85.1</v>
      </c>
      <c r="C217">
        <v>85.55</v>
      </c>
      <c r="D217">
        <v>84.01</v>
      </c>
      <c r="E217">
        <v>84.99</v>
      </c>
    </row>
    <row r="218" spans="1:5" x14ac:dyDescent="0.3">
      <c r="A218" s="3">
        <v>45022</v>
      </c>
      <c r="B218">
        <v>84.83</v>
      </c>
      <c r="C218">
        <v>85.44</v>
      </c>
      <c r="D218">
        <v>84.05</v>
      </c>
      <c r="E218">
        <v>85.12</v>
      </c>
    </row>
    <row r="219" spans="1:5" x14ac:dyDescent="0.3">
      <c r="A219" s="3">
        <v>45026</v>
      </c>
      <c r="B219">
        <v>84.95</v>
      </c>
      <c r="C219">
        <v>85.64</v>
      </c>
      <c r="D219">
        <v>84.08</v>
      </c>
      <c r="E219">
        <v>84.18</v>
      </c>
    </row>
    <row r="220" spans="1:5" x14ac:dyDescent="0.3">
      <c r="A220" s="3">
        <v>45027</v>
      </c>
      <c r="B220">
        <v>84.28</v>
      </c>
      <c r="C220">
        <v>85.68</v>
      </c>
      <c r="D220">
        <v>83.75</v>
      </c>
      <c r="E220">
        <v>85.61</v>
      </c>
    </row>
    <row r="221" spans="1:5" x14ac:dyDescent="0.3">
      <c r="A221" s="3">
        <v>45028</v>
      </c>
      <c r="B221">
        <v>85.55</v>
      </c>
      <c r="C221">
        <v>87.49</v>
      </c>
      <c r="D221">
        <v>85.41</v>
      </c>
      <c r="E221">
        <v>87.33</v>
      </c>
    </row>
    <row r="222" spans="1:5" x14ac:dyDescent="0.3">
      <c r="A222" s="3">
        <v>45029</v>
      </c>
      <c r="B222">
        <v>87.15</v>
      </c>
      <c r="C222">
        <v>87.47</v>
      </c>
      <c r="D222">
        <v>86.06</v>
      </c>
      <c r="E222">
        <v>86.09</v>
      </c>
    </row>
    <row r="223" spans="1:5" x14ac:dyDescent="0.3">
      <c r="A223" s="3">
        <v>45030</v>
      </c>
      <c r="B223">
        <v>86.34</v>
      </c>
      <c r="C223">
        <v>86.86</v>
      </c>
      <c r="D223">
        <v>85.54</v>
      </c>
      <c r="E223">
        <v>86.31</v>
      </c>
    </row>
    <row r="224" spans="1:5" x14ac:dyDescent="0.3">
      <c r="A224" s="3">
        <v>45033</v>
      </c>
      <c r="B224">
        <v>86.27</v>
      </c>
      <c r="C224">
        <v>86.51</v>
      </c>
      <c r="D224">
        <v>84.35</v>
      </c>
      <c r="E224">
        <v>84.76</v>
      </c>
    </row>
    <row r="225" spans="1:5" x14ac:dyDescent="0.3">
      <c r="A225" s="3">
        <v>45034</v>
      </c>
      <c r="B225">
        <v>84.82</v>
      </c>
      <c r="C225">
        <v>85.4</v>
      </c>
      <c r="D225">
        <v>83.82</v>
      </c>
      <c r="E225">
        <v>84.77</v>
      </c>
    </row>
    <row r="226" spans="1:5" x14ac:dyDescent="0.3">
      <c r="A226" s="3">
        <v>45035</v>
      </c>
      <c r="B226">
        <v>84.86</v>
      </c>
      <c r="C226">
        <v>85.15</v>
      </c>
      <c r="D226">
        <v>82.41</v>
      </c>
      <c r="E226">
        <v>83.12</v>
      </c>
    </row>
    <row r="227" spans="1:5" x14ac:dyDescent="0.3">
      <c r="A227" s="3">
        <v>45036</v>
      </c>
      <c r="B227">
        <v>83</v>
      </c>
      <c r="C227">
        <v>83.04</v>
      </c>
      <c r="D227">
        <v>80.77</v>
      </c>
      <c r="E227">
        <v>81.099999999999994</v>
      </c>
    </row>
    <row r="228" spans="1:5" x14ac:dyDescent="0.3">
      <c r="A228" s="3">
        <v>45037</v>
      </c>
      <c r="B228">
        <v>80.83</v>
      </c>
      <c r="C228">
        <v>82.04</v>
      </c>
      <c r="D228">
        <v>80.45</v>
      </c>
      <c r="E228">
        <v>81.66</v>
      </c>
    </row>
    <row r="229" spans="1:5" x14ac:dyDescent="0.3">
      <c r="A229" s="3">
        <v>45040</v>
      </c>
      <c r="B229">
        <v>81.599999999999994</v>
      </c>
      <c r="C229">
        <v>82.99</v>
      </c>
      <c r="D229">
        <v>80.489999999999995</v>
      </c>
      <c r="E229">
        <v>82.73</v>
      </c>
    </row>
    <row r="230" spans="1:5" x14ac:dyDescent="0.3">
      <c r="A230" s="3">
        <v>45041</v>
      </c>
      <c r="B230">
        <v>82.58</v>
      </c>
      <c r="C230">
        <v>83.05</v>
      </c>
      <c r="D230">
        <v>80.349999999999994</v>
      </c>
      <c r="E230">
        <v>80.77</v>
      </c>
    </row>
    <row r="231" spans="1:5" x14ac:dyDescent="0.3">
      <c r="A231" s="3">
        <v>45042</v>
      </c>
      <c r="B231">
        <v>81</v>
      </c>
      <c r="C231">
        <v>81.47</v>
      </c>
      <c r="D231">
        <v>77.48</v>
      </c>
      <c r="E231">
        <v>77.69</v>
      </c>
    </row>
    <row r="232" spans="1:5" x14ac:dyDescent="0.3">
      <c r="A232" s="3">
        <v>45043</v>
      </c>
      <c r="B232">
        <v>77.87</v>
      </c>
      <c r="C232">
        <v>78.63</v>
      </c>
      <c r="D232">
        <v>77.39</v>
      </c>
      <c r="E232">
        <v>78.37</v>
      </c>
    </row>
    <row r="233" spans="1:5" x14ac:dyDescent="0.3">
      <c r="A233" s="3">
        <v>45044</v>
      </c>
      <c r="B233">
        <v>78.31</v>
      </c>
      <c r="C233">
        <v>79.599999999999994</v>
      </c>
      <c r="D233">
        <v>77.97</v>
      </c>
      <c r="E233">
        <v>79.540000000000006</v>
      </c>
    </row>
    <row r="234" spans="1:5" x14ac:dyDescent="0.3">
      <c r="A234" s="3">
        <v>45047</v>
      </c>
      <c r="B234">
        <v>80.180000000000007</v>
      </c>
      <c r="C234">
        <v>80.19</v>
      </c>
      <c r="D234">
        <v>78.13</v>
      </c>
      <c r="E234">
        <v>79.31</v>
      </c>
    </row>
    <row r="235" spans="1:5" x14ac:dyDescent="0.3">
      <c r="A235" s="3">
        <v>45048</v>
      </c>
      <c r="B235">
        <v>79.260000000000005</v>
      </c>
      <c r="C235">
        <v>79.78</v>
      </c>
      <c r="D235">
        <v>75.09</v>
      </c>
      <c r="E235">
        <v>75.319999999999993</v>
      </c>
    </row>
    <row r="236" spans="1:5" x14ac:dyDescent="0.3">
      <c r="A236" s="3">
        <v>45049</v>
      </c>
      <c r="B236">
        <v>75.27</v>
      </c>
      <c r="C236">
        <v>75.55</v>
      </c>
      <c r="D236">
        <v>71.680000000000007</v>
      </c>
      <c r="E236">
        <v>72.33</v>
      </c>
    </row>
    <row r="237" spans="1:5" x14ac:dyDescent="0.3">
      <c r="A237" s="3">
        <v>45050</v>
      </c>
      <c r="B237">
        <v>71.89</v>
      </c>
      <c r="C237">
        <v>73.73</v>
      </c>
      <c r="D237">
        <v>68.2</v>
      </c>
      <c r="E237">
        <v>72.5</v>
      </c>
    </row>
    <row r="238" spans="1:5" x14ac:dyDescent="0.3">
      <c r="A238" s="3">
        <v>45051</v>
      </c>
      <c r="B238">
        <v>72.650000000000006</v>
      </c>
      <c r="C238">
        <v>75.73</v>
      </c>
      <c r="D238">
        <v>72.41</v>
      </c>
      <c r="E238">
        <v>75.3</v>
      </c>
    </row>
    <row r="239" spans="1:5" x14ac:dyDescent="0.3">
      <c r="A239" s="3">
        <v>45054</v>
      </c>
      <c r="B239">
        <v>75.41</v>
      </c>
      <c r="C239">
        <v>77.42</v>
      </c>
      <c r="D239">
        <v>74.959999999999994</v>
      </c>
      <c r="E239">
        <v>77.010000000000005</v>
      </c>
    </row>
    <row r="240" spans="1:5" x14ac:dyDescent="0.3">
      <c r="A240" s="3">
        <v>45055</v>
      </c>
      <c r="B240">
        <v>76.849999999999994</v>
      </c>
      <c r="C240">
        <v>77.489999999999995</v>
      </c>
      <c r="D240">
        <v>75.069999999999993</v>
      </c>
      <c r="E240">
        <v>77.44</v>
      </c>
    </row>
    <row r="241" spans="1:5" x14ac:dyDescent="0.3">
      <c r="A241" s="3">
        <v>45056</v>
      </c>
      <c r="B241">
        <v>77.25</v>
      </c>
      <c r="C241">
        <v>77.599999999999994</v>
      </c>
      <c r="D241">
        <v>75.680000000000007</v>
      </c>
      <c r="E241">
        <v>76.41</v>
      </c>
    </row>
    <row r="242" spans="1:5" x14ac:dyDescent="0.3">
      <c r="A242" s="3">
        <v>45057</v>
      </c>
      <c r="B242">
        <v>76.64</v>
      </c>
      <c r="C242">
        <v>77.400000000000006</v>
      </c>
      <c r="D242">
        <v>74.62</v>
      </c>
      <c r="E242">
        <v>74.98</v>
      </c>
    </row>
    <row r="243" spans="1:5" x14ac:dyDescent="0.3">
      <c r="A243" s="3">
        <v>45058</v>
      </c>
      <c r="B243">
        <v>75.459999999999994</v>
      </c>
      <c r="C243">
        <v>75.84</v>
      </c>
      <c r="D243">
        <v>74.03</v>
      </c>
      <c r="E243">
        <v>74.17</v>
      </c>
    </row>
    <row r="244" spans="1:5" x14ac:dyDescent="0.3">
      <c r="A244" s="3">
        <v>45061</v>
      </c>
      <c r="B244">
        <v>74.25</v>
      </c>
      <c r="C244">
        <v>75.75</v>
      </c>
      <c r="D244">
        <v>73.489999999999995</v>
      </c>
      <c r="E244">
        <v>75.23</v>
      </c>
    </row>
    <row r="245" spans="1:5" x14ac:dyDescent="0.3">
      <c r="A245" s="3">
        <v>45062</v>
      </c>
      <c r="B245">
        <v>75.45</v>
      </c>
      <c r="C245">
        <v>75.95</v>
      </c>
      <c r="D245">
        <v>74.5</v>
      </c>
      <c r="E245">
        <v>74.91</v>
      </c>
    </row>
    <row r="246" spans="1:5" x14ac:dyDescent="0.3">
      <c r="A246" s="3">
        <v>45063</v>
      </c>
      <c r="B246">
        <v>74.680000000000007</v>
      </c>
      <c r="C246">
        <v>77.31</v>
      </c>
      <c r="D246">
        <v>74.09</v>
      </c>
      <c r="E246">
        <v>76.959999999999994</v>
      </c>
    </row>
    <row r="247" spans="1:5" x14ac:dyDescent="0.3">
      <c r="A247" s="3">
        <v>45064</v>
      </c>
      <c r="B247">
        <v>76.790000000000006</v>
      </c>
      <c r="C247">
        <v>76.98</v>
      </c>
      <c r="D247">
        <v>75.48</v>
      </c>
      <c r="E247">
        <v>75.86</v>
      </c>
    </row>
    <row r="248" spans="1:5" x14ac:dyDescent="0.3">
      <c r="A248" s="3">
        <v>45065</v>
      </c>
      <c r="B248">
        <v>75.900000000000006</v>
      </c>
      <c r="C248">
        <v>77.5</v>
      </c>
      <c r="D248">
        <v>75.099999999999994</v>
      </c>
      <c r="E248">
        <v>75.58</v>
      </c>
    </row>
    <row r="249" spans="1:5" x14ac:dyDescent="0.3">
      <c r="A249" s="3">
        <v>45068</v>
      </c>
      <c r="B249">
        <v>75.739999999999995</v>
      </c>
      <c r="C249">
        <v>76.459999999999994</v>
      </c>
      <c r="D249">
        <v>74.55</v>
      </c>
      <c r="E249">
        <v>75.989999999999995</v>
      </c>
    </row>
    <row r="250" spans="1:5" x14ac:dyDescent="0.3">
      <c r="A250" s="3">
        <v>45069</v>
      </c>
      <c r="B250">
        <v>75.97</v>
      </c>
      <c r="C250">
        <v>77.739999999999995</v>
      </c>
      <c r="D250">
        <v>75.650000000000006</v>
      </c>
      <c r="E250">
        <v>76.84</v>
      </c>
    </row>
    <row r="251" spans="1:5" x14ac:dyDescent="0.3">
      <c r="A251" s="3">
        <v>45070</v>
      </c>
      <c r="B251">
        <v>77.59</v>
      </c>
      <c r="C251">
        <v>78.66</v>
      </c>
      <c r="D251">
        <v>77.040000000000006</v>
      </c>
      <c r="E251">
        <v>78.36</v>
      </c>
    </row>
    <row r="252" spans="1:5" x14ac:dyDescent="0.3">
      <c r="A252" s="3">
        <v>45071</v>
      </c>
      <c r="B252">
        <v>78.260000000000005</v>
      </c>
      <c r="C252">
        <v>78.5</v>
      </c>
      <c r="D252">
        <v>75.12</v>
      </c>
      <c r="E252">
        <v>76.260000000000005</v>
      </c>
    </row>
    <row r="253" spans="1:5" x14ac:dyDescent="0.3">
      <c r="A253" s="3">
        <v>45072</v>
      </c>
      <c r="B253">
        <v>76.12</v>
      </c>
      <c r="C253">
        <v>77.349999999999994</v>
      </c>
      <c r="D253">
        <v>75.72</v>
      </c>
      <c r="E253">
        <v>76.95</v>
      </c>
    </row>
    <row r="254" spans="1:5" x14ac:dyDescent="0.3">
      <c r="A254" s="3">
        <v>45076</v>
      </c>
      <c r="B254">
        <v>77.37</v>
      </c>
      <c r="C254">
        <v>77.739999999999995</v>
      </c>
      <c r="D254">
        <v>73.16</v>
      </c>
      <c r="E254">
        <v>73.540000000000006</v>
      </c>
    </row>
    <row r="255" spans="1:5" x14ac:dyDescent="0.3">
      <c r="A255" s="3">
        <v>45077</v>
      </c>
      <c r="B255">
        <v>73.650000000000006</v>
      </c>
      <c r="C255">
        <v>73.77</v>
      </c>
      <c r="D255">
        <v>71.55</v>
      </c>
      <c r="E255">
        <v>72.66</v>
      </c>
    </row>
    <row r="256" spans="1:5" x14ac:dyDescent="0.3">
      <c r="A256" s="3">
        <v>45078</v>
      </c>
      <c r="B256">
        <v>72.09</v>
      </c>
      <c r="C256">
        <v>75.25</v>
      </c>
      <c r="D256">
        <v>72.010000000000005</v>
      </c>
      <c r="E256">
        <v>74.28</v>
      </c>
    </row>
    <row r="257" spans="1:5" x14ac:dyDescent="0.3">
      <c r="A257" s="3">
        <v>45079</v>
      </c>
      <c r="B257">
        <v>74.41</v>
      </c>
      <c r="C257">
        <v>76.489999999999995</v>
      </c>
      <c r="D257">
        <v>74.180000000000007</v>
      </c>
      <c r="E257">
        <v>76.13</v>
      </c>
    </row>
    <row r="258" spans="1:5" x14ac:dyDescent="0.3">
      <c r="A258" s="3">
        <v>45082</v>
      </c>
      <c r="B258">
        <v>77.5</v>
      </c>
      <c r="C258">
        <v>78.72</v>
      </c>
      <c r="D258">
        <v>76.3</v>
      </c>
      <c r="E258">
        <v>76.709999999999994</v>
      </c>
    </row>
    <row r="259" spans="1:5" x14ac:dyDescent="0.3">
      <c r="A259" s="3">
        <v>45083</v>
      </c>
      <c r="B259">
        <v>76.47</v>
      </c>
      <c r="C259">
        <v>76.760000000000005</v>
      </c>
      <c r="D259">
        <v>74.73</v>
      </c>
      <c r="E259">
        <v>76.290000000000006</v>
      </c>
    </row>
    <row r="260" spans="1:5" x14ac:dyDescent="0.3">
      <c r="A260" s="3">
        <v>45084</v>
      </c>
      <c r="B260">
        <v>76.069999999999993</v>
      </c>
      <c r="C260">
        <v>77.62</v>
      </c>
      <c r="D260">
        <v>75.510000000000005</v>
      </c>
      <c r="E260">
        <v>76.95</v>
      </c>
    </row>
    <row r="261" spans="1:5" x14ac:dyDescent="0.3">
      <c r="A261" s="3">
        <v>45085</v>
      </c>
      <c r="B261">
        <v>76.8</v>
      </c>
      <c r="C261">
        <v>77.66</v>
      </c>
      <c r="D261">
        <v>73.569999999999993</v>
      </c>
      <c r="E261">
        <v>75.959999999999994</v>
      </c>
    </row>
    <row r="262" spans="1:5" x14ac:dyDescent="0.3">
      <c r="A262" s="3">
        <v>45086</v>
      </c>
      <c r="B262">
        <v>75.53</v>
      </c>
      <c r="C262">
        <v>76.55</v>
      </c>
      <c r="D262">
        <v>74.72</v>
      </c>
      <c r="E262">
        <v>74.790000000000006</v>
      </c>
    </row>
    <row r="263" spans="1:5" x14ac:dyDescent="0.3">
      <c r="A263" s="3">
        <v>45089</v>
      </c>
      <c r="B263">
        <v>74.88</v>
      </c>
      <c r="C263">
        <v>74.88</v>
      </c>
      <c r="D263">
        <v>71.569999999999993</v>
      </c>
      <c r="E263">
        <v>71.84</v>
      </c>
    </row>
    <row r="264" spans="1:5" x14ac:dyDescent="0.3">
      <c r="A264" s="3">
        <v>45090</v>
      </c>
      <c r="B264">
        <v>72</v>
      </c>
      <c r="C264">
        <v>74.650000000000006</v>
      </c>
      <c r="D264">
        <v>71.95</v>
      </c>
      <c r="E264">
        <v>74.290000000000006</v>
      </c>
    </row>
    <row r="265" spans="1:5" x14ac:dyDescent="0.3">
      <c r="A265" s="3">
        <v>45091</v>
      </c>
      <c r="B265">
        <v>74.069999999999993</v>
      </c>
      <c r="C265">
        <v>75.48</v>
      </c>
      <c r="D265">
        <v>73.03</v>
      </c>
      <c r="E265">
        <v>73.2</v>
      </c>
    </row>
    <row r="266" spans="1:5" x14ac:dyDescent="0.3">
      <c r="A266" s="3">
        <v>45092</v>
      </c>
      <c r="B266">
        <v>73.47</v>
      </c>
      <c r="C266">
        <v>75.959999999999994</v>
      </c>
      <c r="D266">
        <v>72.91</v>
      </c>
      <c r="E266">
        <v>75.67</v>
      </c>
    </row>
    <row r="267" spans="1:5" x14ac:dyDescent="0.3">
      <c r="A267" s="3">
        <v>45093</v>
      </c>
      <c r="B267">
        <v>75.58</v>
      </c>
      <c r="C267">
        <v>76.739999999999995</v>
      </c>
      <c r="D267">
        <v>75.08</v>
      </c>
      <c r="E267">
        <v>76.61</v>
      </c>
    </row>
    <row r="268" spans="1:5" x14ac:dyDescent="0.3">
      <c r="A268" s="3">
        <v>45097</v>
      </c>
      <c r="B268">
        <v>76.23</v>
      </c>
      <c r="C268">
        <v>77.150000000000006</v>
      </c>
      <c r="D268">
        <v>74.52</v>
      </c>
      <c r="E268">
        <v>75.900000000000006</v>
      </c>
    </row>
    <row r="269" spans="1:5" x14ac:dyDescent="0.3">
      <c r="A269" s="3">
        <v>45098</v>
      </c>
      <c r="B269">
        <v>75.5</v>
      </c>
      <c r="C269">
        <v>77.239999999999995</v>
      </c>
      <c r="D269">
        <v>75.38</v>
      </c>
      <c r="E269">
        <v>77.12</v>
      </c>
    </row>
    <row r="270" spans="1:5" x14ac:dyDescent="0.3">
      <c r="A270" s="3">
        <v>45099</v>
      </c>
      <c r="B270">
        <v>76.959999999999994</v>
      </c>
      <c r="C270">
        <v>77.19</v>
      </c>
      <c r="D270">
        <v>73.58</v>
      </c>
      <c r="E270">
        <v>74.14</v>
      </c>
    </row>
    <row r="271" spans="1:5" x14ac:dyDescent="0.3">
      <c r="A271" s="3">
        <v>45100</v>
      </c>
      <c r="B271">
        <v>74.150000000000006</v>
      </c>
      <c r="C271">
        <v>74.37</v>
      </c>
      <c r="D271">
        <v>72.099999999999994</v>
      </c>
      <c r="E271">
        <v>73.849999999999994</v>
      </c>
    </row>
    <row r="272" spans="1:5" x14ac:dyDescent="0.3">
      <c r="A272" s="3">
        <v>45103</v>
      </c>
      <c r="B272">
        <v>74.45</v>
      </c>
      <c r="C272">
        <v>74.83</v>
      </c>
      <c r="D272">
        <v>73.430000000000007</v>
      </c>
      <c r="E272">
        <v>74.180000000000007</v>
      </c>
    </row>
    <row r="273" spans="1:5" x14ac:dyDescent="0.3">
      <c r="A273" s="3">
        <v>45104</v>
      </c>
      <c r="B273">
        <v>74.23</v>
      </c>
      <c r="C273">
        <v>74.89</v>
      </c>
      <c r="D273">
        <v>72.09</v>
      </c>
      <c r="E273">
        <v>72.260000000000005</v>
      </c>
    </row>
    <row r="274" spans="1:5" x14ac:dyDescent="0.3">
      <c r="A274" s="3">
        <v>45105</v>
      </c>
      <c r="B274">
        <v>72.56</v>
      </c>
      <c r="C274">
        <v>74.209999999999994</v>
      </c>
      <c r="D274">
        <v>71.58</v>
      </c>
      <c r="E274">
        <v>74.03</v>
      </c>
    </row>
    <row r="275" spans="1:5" x14ac:dyDescent="0.3">
      <c r="A275" s="3">
        <v>45106</v>
      </c>
      <c r="B275">
        <v>73.75</v>
      </c>
      <c r="C275">
        <v>74.97</v>
      </c>
      <c r="D275">
        <v>73.41</v>
      </c>
      <c r="E275">
        <v>74.34</v>
      </c>
    </row>
    <row r="276" spans="1:5" x14ac:dyDescent="0.3">
      <c r="A276" s="3">
        <v>45107</v>
      </c>
      <c r="B276">
        <v>74.25</v>
      </c>
      <c r="C276">
        <v>75.13</v>
      </c>
      <c r="D276">
        <v>74.25</v>
      </c>
      <c r="E276">
        <v>74.900000000000006</v>
      </c>
    </row>
    <row r="277" spans="1:5" x14ac:dyDescent="0.3">
      <c r="A277" s="3">
        <v>45110</v>
      </c>
      <c r="B277">
        <v>75.13</v>
      </c>
      <c r="C277">
        <v>76.58</v>
      </c>
      <c r="D277">
        <v>74.58</v>
      </c>
      <c r="E277">
        <v>74.650000000000006</v>
      </c>
    </row>
    <row r="278" spans="1:5" x14ac:dyDescent="0.3">
      <c r="A278" s="3">
        <v>45112</v>
      </c>
      <c r="B278">
        <v>74.94</v>
      </c>
      <c r="C278">
        <v>76.94</v>
      </c>
      <c r="D278">
        <v>74.78</v>
      </c>
      <c r="E278">
        <v>76.650000000000006</v>
      </c>
    </row>
    <row r="279" spans="1:5" x14ac:dyDescent="0.3">
      <c r="A279" s="3">
        <v>45113</v>
      </c>
      <c r="B279">
        <v>76.540000000000006</v>
      </c>
      <c r="C279">
        <v>77.08</v>
      </c>
      <c r="D279">
        <v>75.010000000000005</v>
      </c>
      <c r="E279">
        <v>76.52</v>
      </c>
    </row>
    <row r="280" spans="1:5" x14ac:dyDescent="0.3">
      <c r="A280" s="3">
        <v>45114</v>
      </c>
      <c r="B280">
        <v>76.48</v>
      </c>
      <c r="C280">
        <v>78.53</v>
      </c>
      <c r="D280">
        <v>76.02</v>
      </c>
      <c r="E280">
        <v>78.47</v>
      </c>
    </row>
    <row r="281" spans="1:5" x14ac:dyDescent="0.3">
      <c r="A281" s="3">
        <v>45117</v>
      </c>
      <c r="B281">
        <v>78.489999999999995</v>
      </c>
      <c r="C281">
        <v>78.78</v>
      </c>
      <c r="D281">
        <v>77.34</v>
      </c>
      <c r="E281">
        <v>77.69</v>
      </c>
    </row>
    <row r="282" spans="1:5" x14ac:dyDescent="0.3">
      <c r="A282" s="3">
        <v>45118</v>
      </c>
      <c r="B282">
        <v>77.86</v>
      </c>
      <c r="C282">
        <v>79.5</v>
      </c>
      <c r="D282">
        <v>77.64</v>
      </c>
      <c r="E282">
        <v>79.400000000000006</v>
      </c>
    </row>
    <row r="283" spans="1:5" x14ac:dyDescent="0.3">
      <c r="A283" s="3">
        <v>45119</v>
      </c>
      <c r="B283">
        <v>79.28</v>
      </c>
      <c r="C283">
        <v>80.569999999999993</v>
      </c>
      <c r="D283">
        <v>79.22</v>
      </c>
      <c r="E283">
        <v>80.11</v>
      </c>
    </row>
    <row r="284" spans="1:5" x14ac:dyDescent="0.3">
      <c r="A284" s="3">
        <v>45120</v>
      </c>
      <c r="B284">
        <v>80.150000000000006</v>
      </c>
      <c r="C284">
        <v>81.75</v>
      </c>
      <c r="D284">
        <v>79.87</v>
      </c>
      <c r="E284">
        <v>81.36</v>
      </c>
    </row>
    <row r="285" spans="1:5" x14ac:dyDescent="0.3">
      <c r="A285" s="3">
        <v>45121</v>
      </c>
      <c r="B285">
        <v>81.61</v>
      </c>
      <c r="C285">
        <v>81.69</v>
      </c>
      <c r="D285">
        <v>79.569999999999993</v>
      </c>
      <c r="E285">
        <v>79.87</v>
      </c>
    </row>
    <row r="286" spans="1:5" x14ac:dyDescent="0.3">
      <c r="A286" s="3">
        <v>45124</v>
      </c>
      <c r="B286">
        <v>79.45</v>
      </c>
      <c r="C286">
        <v>80.62</v>
      </c>
      <c r="D286">
        <v>78.260000000000005</v>
      </c>
      <c r="E286">
        <v>78.5</v>
      </c>
    </row>
    <row r="287" spans="1:5" x14ac:dyDescent="0.3">
      <c r="A287" s="3">
        <v>45125</v>
      </c>
      <c r="B287">
        <v>78.53</v>
      </c>
      <c r="C287">
        <v>80.010000000000005</v>
      </c>
      <c r="D287">
        <v>78.2</v>
      </c>
      <c r="E287">
        <v>79.63</v>
      </c>
    </row>
    <row r="288" spans="1:5" x14ac:dyDescent="0.3">
      <c r="A288" s="3">
        <v>45126</v>
      </c>
      <c r="B288">
        <v>79.8</v>
      </c>
      <c r="C288">
        <v>80.95</v>
      </c>
      <c r="D288">
        <v>79.180000000000007</v>
      </c>
      <c r="E288">
        <v>79.459999999999994</v>
      </c>
    </row>
    <row r="289" spans="1:5" x14ac:dyDescent="0.3">
      <c r="A289" s="3">
        <v>45127</v>
      </c>
      <c r="B289">
        <v>79.5</v>
      </c>
      <c r="C289">
        <v>80.27</v>
      </c>
      <c r="D289">
        <v>78.67</v>
      </c>
      <c r="E289">
        <v>79.64</v>
      </c>
    </row>
    <row r="290" spans="1:5" x14ac:dyDescent="0.3">
      <c r="A290" s="3">
        <v>45128</v>
      </c>
      <c r="B290">
        <v>79.66</v>
      </c>
      <c r="C290">
        <v>81.239999999999995</v>
      </c>
      <c r="D290">
        <v>79.66</v>
      </c>
      <c r="E290">
        <v>81.069999999999993</v>
      </c>
    </row>
    <row r="291" spans="1:5" x14ac:dyDescent="0.3">
      <c r="A291" s="3">
        <v>45131</v>
      </c>
      <c r="B291">
        <v>80.989999999999995</v>
      </c>
      <c r="C291">
        <v>83.16</v>
      </c>
      <c r="D291">
        <v>80.42</v>
      </c>
      <c r="E291">
        <v>82.74</v>
      </c>
    </row>
    <row r="292" spans="1:5" x14ac:dyDescent="0.3">
      <c r="A292" s="3">
        <v>45132</v>
      </c>
      <c r="B292">
        <v>82.83</v>
      </c>
      <c r="C292">
        <v>83.88</v>
      </c>
      <c r="D292">
        <v>82.24</v>
      </c>
      <c r="E292">
        <v>83.64</v>
      </c>
    </row>
    <row r="293" spans="1:5" x14ac:dyDescent="0.3">
      <c r="A293" s="3">
        <v>45133</v>
      </c>
      <c r="B293">
        <v>83.27</v>
      </c>
      <c r="C293">
        <v>83.86</v>
      </c>
      <c r="D293">
        <v>82.6</v>
      </c>
      <c r="E293">
        <v>82.92</v>
      </c>
    </row>
    <row r="294" spans="1:5" x14ac:dyDescent="0.3">
      <c r="A294" s="3">
        <v>45134</v>
      </c>
      <c r="B294">
        <v>83.03</v>
      </c>
      <c r="C294">
        <v>84.51</v>
      </c>
      <c r="D294">
        <v>82.99</v>
      </c>
      <c r="E294">
        <v>84.24</v>
      </c>
    </row>
    <row r="295" spans="1:5" x14ac:dyDescent="0.3">
      <c r="A295" s="3">
        <v>45135</v>
      </c>
      <c r="B295">
        <v>84.05</v>
      </c>
      <c r="C295">
        <v>85.1</v>
      </c>
      <c r="D295">
        <v>83.22</v>
      </c>
      <c r="E295">
        <v>84.99</v>
      </c>
    </row>
    <row r="296" spans="1:5" x14ac:dyDescent="0.3">
      <c r="A296" s="3">
        <v>45138</v>
      </c>
      <c r="B296">
        <v>84.88</v>
      </c>
      <c r="C296">
        <v>85.66</v>
      </c>
      <c r="D296">
        <v>84.52</v>
      </c>
      <c r="E296">
        <v>85.56</v>
      </c>
    </row>
    <row r="297" spans="1:5" x14ac:dyDescent="0.3">
      <c r="A297" s="3">
        <v>45139</v>
      </c>
      <c r="B297">
        <v>85.35</v>
      </c>
      <c r="C297">
        <v>85.79</v>
      </c>
      <c r="D297">
        <v>84.26</v>
      </c>
      <c r="E297">
        <v>84.91</v>
      </c>
    </row>
    <row r="298" spans="1:5" x14ac:dyDescent="0.3">
      <c r="A298" s="3">
        <v>45140</v>
      </c>
      <c r="B298">
        <v>85.73</v>
      </c>
      <c r="C298">
        <v>85.98</v>
      </c>
      <c r="D298">
        <v>82.75</v>
      </c>
      <c r="E298">
        <v>83.2</v>
      </c>
    </row>
    <row r="299" spans="1:5" x14ac:dyDescent="0.3">
      <c r="A299" s="3">
        <v>45141</v>
      </c>
      <c r="B299">
        <v>83.44</v>
      </c>
      <c r="C299">
        <v>85.42</v>
      </c>
      <c r="D299">
        <v>82.37</v>
      </c>
      <c r="E299">
        <v>85.14</v>
      </c>
    </row>
    <row r="300" spans="1:5" x14ac:dyDescent="0.3">
      <c r="A300" s="3">
        <v>45142</v>
      </c>
      <c r="B300">
        <v>85.32</v>
      </c>
      <c r="C300">
        <v>86.65</v>
      </c>
      <c r="D300">
        <v>85.11</v>
      </c>
      <c r="E300">
        <v>86.24</v>
      </c>
    </row>
    <row r="301" spans="1:5" x14ac:dyDescent="0.3">
      <c r="A301" s="3">
        <v>45145</v>
      </c>
      <c r="B301">
        <v>86.14</v>
      </c>
      <c r="C301">
        <v>86.71</v>
      </c>
      <c r="D301">
        <v>85.04</v>
      </c>
      <c r="E301">
        <v>85.34</v>
      </c>
    </row>
    <row r="302" spans="1:5" x14ac:dyDescent="0.3">
      <c r="A302" s="3">
        <v>45146</v>
      </c>
      <c r="B302">
        <v>85.84</v>
      </c>
      <c r="C302">
        <v>86.35</v>
      </c>
      <c r="D302">
        <v>83.32</v>
      </c>
      <c r="E302">
        <v>86.17</v>
      </c>
    </row>
    <row r="303" spans="1:5" x14ac:dyDescent="0.3">
      <c r="A303" s="3">
        <v>45147</v>
      </c>
      <c r="B303">
        <v>86.01</v>
      </c>
      <c r="C303">
        <v>87.66</v>
      </c>
      <c r="D303">
        <v>85.94</v>
      </c>
      <c r="E303">
        <v>87.55</v>
      </c>
    </row>
    <row r="304" spans="1:5" x14ac:dyDescent="0.3">
      <c r="A304" s="3">
        <v>45148</v>
      </c>
      <c r="B304">
        <v>87.37</v>
      </c>
      <c r="C304">
        <v>88.1</v>
      </c>
      <c r="D304">
        <v>86.15</v>
      </c>
      <c r="E304">
        <v>86.4</v>
      </c>
    </row>
    <row r="305" spans="1:5" x14ac:dyDescent="0.3">
      <c r="A305" s="3">
        <v>45149</v>
      </c>
      <c r="B305">
        <v>86.39</v>
      </c>
      <c r="C305">
        <v>87.35</v>
      </c>
      <c r="D305">
        <v>85.85</v>
      </c>
      <c r="E305">
        <v>86.81</v>
      </c>
    </row>
    <row r="306" spans="1:5" x14ac:dyDescent="0.3">
      <c r="A306" s="3">
        <v>45152</v>
      </c>
      <c r="B306">
        <v>86.64</v>
      </c>
      <c r="C306">
        <v>86.7</v>
      </c>
      <c r="D306">
        <v>85.5</v>
      </c>
      <c r="E306">
        <v>86.21</v>
      </c>
    </row>
    <row r="307" spans="1:5" x14ac:dyDescent="0.3">
      <c r="A307" s="3">
        <v>45153</v>
      </c>
      <c r="B307">
        <v>86.3</v>
      </c>
      <c r="C307">
        <v>86.67</v>
      </c>
      <c r="D307">
        <v>84.29</v>
      </c>
      <c r="E307">
        <v>84.89</v>
      </c>
    </row>
    <row r="308" spans="1:5" x14ac:dyDescent="0.3">
      <c r="A308" s="3">
        <v>45154</v>
      </c>
      <c r="B308">
        <v>85.12</v>
      </c>
      <c r="C308">
        <v>85.36</v>
      </c>
      <c r="D308">
        <v>83.12</v>
      </c>
      <c r="E308">
        <v>83.45</v>
      </c>
    </row>
    <row r="309" spans="1:5" x14ac:dyDescent="0.3">
      <c r="A309" s="3">
        <v>45155</v>
      </c>
      <c r="B309">
        <v>83.35</v>
      </c>
      <c r="C309">
        <v>84.89</v>
      </c>
      <c r="D309">
        <v>83.05</v>
      </c>
      <c r="E309">
        <v>84.12</v>
      </c>
    </row>
    <row r="310" spans="1:5" x14ac:dyDescent="0.3">
      <c r="A310" s="3">
        <v>45156</v>
      </c>
      <c r="B310">
        <v>83.83</v>
      </c>
      <c r="C310">
        <v>85.07</v>
      </c>
      <c r="D310">
        <v>83.32</v>
      </c>
      <c r="E310">
        <v>84.8</v>
      </c>
    </row>
    <row r="311" spans="1:5" x14ac:dyDescent="0.3">
      <c r="A311" s="3">
        <v>45159</v>
      </c>
      <c r="B311">
        <v>85.06</v>
      </c>
      <c r="C311">
        <v>85.87</v>
      </c>
      <c r="D311">
        <v>84.31</v>
      </c>
      <c r="E311">
        <v>84.46</v>
      </c>
    </row>
    <row r="312" spans="1:5" x14ac:dyDescent="0.3">
      <c r="A312" s="3">
        <v>45160</v>
      </c>
      <c r="B312">
        <v>84.39</v>
      </c>
      <c r="C312">
        <v>84.65</v>
      </c>
      <c r="D312">
        <v>83.84</v>
      </c>
      <c r="E312">
        <v>84.03</v>
      </c>
    </row>
    <row r="313" spans="1:5" x14ac:dyDescent="0.3">
      <c r="A313" s="3">
        <v>45161</v>
      </c>
      <c r="B313">
        <v>83.98</v>
      </c>
      <c r="C313">
        <v>84.24</v>
      </c>
      <c r="D313">
        <v>81.97</v>
      </c>
      <c r="E313">
        <v>83.21</v>
      </c>
    </row>
    <row r="314" spans="1:5" x14ac:dyDescent="0.3">
      <c r="A314" s="3">
        <v>45162</v>
      </c>
      <c r="B314">
        <v>82.99</v>
      </c>
      <c r="C314">
        <v>83.61</v>
      </c>
      <c r="D314">
        <v>81.97</v>
      </c>
      <c r="E314">
        <v>83.36</v>
      </c>
    </row>
    <row r="315" spans="1:5" x14ac:dyDescent="0.3">
      <c r="A315" s="3">
        <v>45163</v>
      </c>
      <c r="B315">
        <v>83.2</v>
      </c>
      <c r="C315">
        <v>84.97</v>
      </c>
      <c r="D315">
        <v>82.69</v>
      </c>
      <c r="E315">
        <v>84.48</v>
      </c>
    </row>
    <row r="316" spans="1:5" x14ac:dyDescent="0.3">
      <c r="A316" s="3">
        <v>45166</v>
      </c>
      <c r="B316">
        <v>84.87</v>
      </c>
      <c r="C316">
        <v>85.22</v>
      </c>
      <c r="D316">
        <v>84.11</v>
      </c>
      <c r="E316">
        <v>84.42</v>
      </c>
    </row>
    <row r="317" spans="1:5" x14ac:dyDescent="0.3">
      <c r="A317" s="3">
        <v>45167</v>
      </c>
      <c r="B317">
        <v>84.38</v>
      </c>
      <c r="C317">
        <v>85.65</v>
      </c>
      <c r="D317">
        <v>83.78</v>
      </c>
      <c r="E317">
        <v>85.49</v>
      </c>
    </row>
    <row r="318" spans="1:5" x14ac:dyDescent="0.3">
      <c r="A318" s="3">
        <v>45168</v>
      </c>
      <c r="B318">
        <v>85.63</v>
      </c>
      <c r="C318">
        <v>86.21</v>
      </c>
      <c r="D318">
        <v>85.13</v>
      </c>
      <c r="E318">
        <v>85.86</v>
      </c>
    </row>
    <row r="319" spans="1:5" x14ac:dyDescent="0.3">
      <c r="A319" s="3">
        <v>45169</v>
      </c>
      <c r="B319">
        <v>85.85</v>
      </c>
      <c r="C319">
        <v>86.9</v>
      </c>
      <c r="D319">
        <v>85.85</v>
      </c>
      <c r="E319">
        <v>86.86</v>
      </c>
    </row>
    <row r="320" spans="1:5" x14ac:dyDescent="0.3">
      <c r="A320" s="3">
        <v>45170</v>
      </c>
      <c r="B320">
        <v>86.82</v>
      </c>
      <c r="C320">
        <v>88.96</v>
      </c>
      <c r="D320">
        <v>86.74</v>
      </c>
      <c r="E320">
        <v>88.55</v>
      </c>
    </row>
    <row r="321" spans="1:5" x14ac:dyDescent="0.3">
      <c r="A321" s="3">
        <v>45174</v>
      </c>
      <c r="B321">
        <v>88.7</v>
      </c>
      <c r="C321">
        <v>91.18</v>
      </c>
      <c r="D321">
        <v>88.07</v>
      </c>
      <c r="E321">
        <v>90.04</v>
      </c>
    </row>
    <row r="322" spans="1:5" x14ac:dyDescent="0.3">
      <c r="A322" s="3">
        <v>45175</v>
      </c>
      <c r="B322">
        <v>89.98</v>
      </c>
      <c r="C322">
        <v>91.11</v>
      </c>
      <c r="D322">
        <v>89.25</v>
      </c>
      <c r="E322">
        <v>90.6</v>
      </c>
    </row>
    <row r="323" spans="1:5" x14ac:dyDescent="0.3">
      <c r="A323" s="3">
        <v>45176</v>
      </c>
      <c r="B323">
        <v>90.61</v>
      </c>
      <c r="C323">
        <v>90.86</v>
      </c>
      <c r="D323">
        <v>89.47</v>
      </c>
      <c r="E323">
        <v>89.92</v>
      </c>
    </row>
    <row r="324" spans="1:5" x14ac:dyDescent="0.3">
      <c r="A324" s="3">
        <v>45177</v>
      </c>
      <c r="B324">
        <v>89.8</v>
      </c>
      <c r="C324">
        <v>91.02</v>
      </c>
      <c r="D324">
        <v>89.3</v>
      </c>
      <c r="E324">
        <v>90.65</v>
      </c>
    </row>
    <row r="325" spans="1:5" x14ac:dyDescent="0.3">
      <c r="A325" s="3">
        <v>45180</v>
      </c>
      <c r="B325">
        <v>90.66</v>
      </c>
      <c r="C325">
        <v>91.45</v>
      </c>
      <c r="D325">
        <v>90.12</v>
      </c>
      <c r="E325">
        <v>90.64</v>
      </c>
    </row>
    <row r="326" spans="1:5" x14ac:dyDescent="0.3">
      <c r="A326" s="3">
        <v>45181</v>
      </c>
      <c r="B326">
        <v>90.56</v>
      </c>
      <c r="C326">
        <v>92.42</v>
      </c>
      <c r="D326">
        <v>90.54</v>
      </c>
      <c r="E326">
        <v>92.06</v>
      </c>
    </row>
    <row r="327" spans="1:5" x14ac:dyDescent="0.3">
      <c r="A327" s="3">
        <v>45182</v>
      </c>
      <c r="B327">
        <v>91.93</v>
      </c>
      <c r="C327">
        <v>92.83</v>
      </c>
      <c r="D327">
        <v>91.63</v>
      </c>
      <c r="E327">
        <v>91.88</v>
      </c>
    </row>
    <row r="328" spans="1:5" x14ac:dyDescent="0.3">
      <c r="A328" s="3">
        <v>45183</v>
      </c>
      <c r="B328">
        <v>92.2</v>
      </c>
      <c r="C328">
        <v>94.21</v>
      </c>
      <c r="D328">
        <v>92.03</v>
      </c>
      <c r="E328">
        <v>93.7</v>
      </c>
    </row>
    <row r="329" spans="1:5" x14ac:dyDescent="0.3">
      <c r="A329" s="3">
        <v>45184</v>
      </c>
      <c r="B329">
        <v>94.13</v>
      </c>
      <c r="C329">
        <v>94.61</v>
      </c>
      <c r="D329">
        <v>92.67</v>
      </c>
      <c r="E329">
        <v>93.93</v>
      </c>
    </row>
    <row r="330" spans="1:5" x14ac:dyDescent="0.3">
      <c r="A330" s="3">
        <v>45187</v>
      </c>
      <c r="B330">
        <v>94.2</v>
      </c>
      <c r="C330">
        <v>94.95</v>
      </c>
      <c r="D330">
        <v>93.78</v>
      </c>
      <c r="E330">
        <v>94.43</v>
      </c>
    </row>
    <row r="331" spans="1:5" x14ac:dyDescent="0.3">
      <c r="A331" s="3">
        <v>45188</v>
      </c>
      <c r="B331">
        <v>94.63</v>
      </c>
      <c r="C331">
        <v>95.95</v>
      </c>
      <c r="D331">
        <v>94.17</v>
      </c>
      <c r="E331">
        <v>94.34</v>
      </c>
    </row>
    <row r="332" spans="1:5" x14ac:dyDescent="0.3">
      <c r="A332" s="3">
        <v>45189</v>
      </c>
      <c r="B332">
        <v>94.48</v>
      </c>
      <c r="C332">
        <v>94.73</v>
      </c>
      <c r="D332">
        <v>92.76</v>
      </c>
      <c r="E332">
        <v>93.53</v>
      </c>
    </row>
    <row r="333" spans="1:5" x14ac:dyDescent="0.3">
      <c r="A333" s="3">
        <v>45190</v>
      </c>
      <c r="B333">
        <v>93.22</v>
      </c>
      <c r="C333">
        <v>94.6</v>
      </c>
      <c r="D333">
        <v>92.2</v>
      </c>
      <c r="E333">
        <v>93.3</v>
      </c>
    </row>
    <row r="334" spans="1:5" x14ac:dyDescent="0.3">
      <c r="A334" s="3">
        <v>45191</v>
      </c>
      <c r="B334">
        <v>93.32</v>
      </c>
      <c r="C334">
        <v>94.63</v>
      </c>
      <c r="D334">
        <v>92.8</v>
      </c>
      <c r="E334">
        <v>93.27</v>
      </c>
    </row>
    <row r="335" spans="1:5" x14ac:dyDescent="0.3">
      <c r="A335" s="3">
        <v>45194</v>
      </c>
      <c r="B335">
        <v>93.75</v>
      </c>
      <c r="C335">
        <v>94.25</v>
      </c>
      <c r="D335">
        <v>92.54</v>
      </c>
      <c r="E335">
        <v>93.29</v>
      </c>
    </row>
    <row r="336" spans="1:5" x14ac:dyDescent="0.3">
      <c r="A336" s="3">
        <v>45195</v>
      </c>
      <c r="B336">
        <v>93.26</v>
      </c>
      <c r="C336">
        <v>94.21</v>
      </c>
      <c r="D336">
        <v>91.8</v>
      </c>
      <c r="E336">
        <v>93.96</v>
      </c>
    </row>
    <row r="337" spans="1:5" x14ac:dyDescent="0.3">
      <c r="A337" s="3">
        <v>45196</v>
      </c>
      <c r="B337">
        <v>94.16</v>
      </c>
      <c r="C337">
        <v>97.04</v>
      </c>
      <c r="D337">
        <v>94.15</v>
      </c>
      <c r="E337">
        <v>96.55</v>
      </c>
    </row>
    <row r="338" spans="1:5" x14ac:dyDescent="0.3">
      <c r="A338" s="3">
        <v>45197</v>
      </c>
      <c r="B338">
        <v>96.62</v>
      </c>
      <c r="C338">
        <v>97.63</v>
      </c>
      <c r="D338">
        <v>94.75</v>
      </c>
      <c r="E338">
        <v>95.38</v>
      </c>
    </row>
    <row r="339" spans="1:5" x14ac:dyDescent="0.3">
      <c r="A339" s="3">
        <v>45198</v>
      </c>
      <c r="B339">
        <v>95.1</v>
      </c>
      <c r="C339">
        <v>96.24</v>
      </c>
      <c r="D339">
        <v>94.96</v>
      </c>
      <c r="E339">
        <v>95.31</v>
      </c>
    </row>
    <row r="340" spans="1:5" x14ac:dyDescent="0.3">
      <c r="A340" s="3">
        <v>45201</v>
      </c>
      <c r="B340">
        <v>92.19</v>
      </c>
      <c r="C340">
        <v>93.32</v>
      </c>
      <c r="D340">
        <v>90.35</v>
      </c>
      <c r="E340">
        <v>90.71</v>
      </c>
    </row>
    <row r="341" spans="1:5" x14ac:dyDescent="0.3">
      <c r="A341" s="3">
        <v>45202</v>
      </c>
      <c r="B341">
        <v>90.44</v>
      </c>
      <c r="C341">
        <v>91.56</v>
      </c>
      <c r="D341">
        <v>89.52</v>
      </c>
      <c r="E341">
        <v>90.92</v>
      </c>
    </row>
    <row r="342" spans="1:5" x14ac:dyDescent="0.3">
      <c r="A342" s="3">
        <v>45203</v>
      </c>
      <c r="B342">
        <v>90.96</v>
      </c>
      <c r="C342">
        <v>91.19</v>
      </c>
      <c r="D342">
        <v>85.73</v>
      </c>
      <c r="E342">
        <v>85.81</v>
      </c>
    </row>
    <row r="343" spans="1:5" x14ac:dyDescent="0.3">
      <c r="A343" s="3">
        <v>45204</v>
      </c>
      <c r="B343">
        <v>86.03</v>
      </c>
      <c r="C343">
        <v>86.51</v>
      </c>
      <c r="D343">
        <v>83.84</v>
      </c>
      <c r="E343">
        <v>84.07</v>
      </c>
    </row>
    <row r="344" spans="1:5" x14ac:dyDescent="0.3">
      <c r="A344" s="3">
        <v>45205</v>
      </c>
      <c r="B344">
        <v>84.22</v>
      </c>
      <c r="C344">
        <v>84.96</v>
      </c>
      <c r="D344">
        <v>83.45</v>
      </c>
      <c r="E344">
        <v>84.58</v>
      </c>
    </row>
    <row r="345" spans="1:5" x14ac:dyDescent="0.3">
      <c r="A345" s="3">
        <v>45208</v>
      </c>
      <c r="B345">
        <v>86.35</v>
      </c>
      <c r="C345">
        <v>89</v>
      </c>
      <c r="D345">
        <v>86.07</v>
      </c>
      <c r="E345">
        <v>88.15</v>
      </c>
    </row>
    <row r="346" spans="1:5" x14ac:dyDescent="0.3">
      <c r="A346" s="3">
        <v>45209</v>
      </c>
      <c r="B346">
        <v>88.11</v>
      </c>
      <c r="C346">
        <v>88.47</v>
      </c>
      <c r="D346">
        <v>86.92</v>
      </c>
      <c r="E346">
        <v>87.65</v>
      </c>
    </row>
    <row r="347" spans="1:5" x14ac:dyDescent="0.3">
      <c r="A347" s="3">
        <v>45210</v>
      </c>
      <c r="B347">
        <v>87.75</v>
      </c>
      <c r="C347">
        <v>88.25</v>
      </c>
      <c r="D347">
        <v>85.22</v>
      </c>
      <c r="E347">
        <v>85.82</v>
      </c>
    </row>
    <row r="348" spans="1:5" x14ac:dyDescent="0.3">
      <c r="A348" s="3">
        <v>45211</v>
      </c>
      <c r="B348">
        <v>85.6</v>
      </c>
      <c r="C348">
        <v>87.64</v>
      </c>
      <c r="D348">
        <v>85.18</v>
      </c>
      <c r="E348">
        <v>86</v>
      </c>
    </row>
    <row r="349" spans="1:5" x14ac:dyDescent="0.3">
      <c r="A349" s="3">
        <v>45212</v>
      </c>
      <c r="B349">
        <v>86.41</v>
      </c>
      <c r="C349">
        <v>90.99</v>
      </c>
      <c r="D349">
        <v>86.28</v>
      </c>
      <c r="E349">
        <v>90.89</v>
      </c>
    </row>
    <row r="350" spans="1:5" x14ac:dyDescent="0.3">
      <c r="A350" s="3">
        <v>45215</v>
      </c>
      <c r="B350">
        <v>90.92</v>
      </c>
      <c r="C350">
        <v>91.39</v>
      </c>
      <c r="D350">
        <v>89.49</v>
      </c>
      <c r="E350">
        <v>89.65</v>
      </c>
    </row>
    <row r="351" spans="1:5" x14ac:dyDescent="0.3">
      <c r="A351" s="3">
        <v>45216</v>
      </c>
      <c r="B351">
        <v>90.06</v>
      </c>
      <c r="C351">
        <v>90.92</v>
      </c>
      <c r="D351">
        <v>88.87</v>
      </c>
      <c r="E351">
        <v>89.9</v>
      </c>
    </row>
    <row r="352" spans="1:5" x14ac:dyDescent="0.3">
      <c r="A352" s="3">
        <v>45217</v>
      </c>
      <c r="B352">
        <v>90.9</v>
      </c>
      <c r="C352">
        <v>92.97</v>
      </c>
      <c r="D352">
        <v>90.6</v>
      </c>
      <c r="E352">
        <v>91.5</v>
      </c>
    </row>
    <row r="353" spans="1:5" x14ac:dyDescent="0.3">
      <c r="A353" s="3">
        <v>45218</v>
      </c>
      <c r="B353">
        <v>91.34</v>
      </c>
      <c r="C353">
        <v>93.47</v>
      </c>
      <c r="D353">
        <v>89.53</v>
      </c>
      <c r="E353">
        <v>92.38</v>
      </c>
    </row>
    <row r="354" spans="1:5" x14ac:dyDescent="0.3">
      <c r="A354" s="3">
        <v>45219</v>
      </c>
      <c r="B354">
        <v>92.85</v>
      </c>
      <c r="C354">
        <v>93.79</v>
      </c>
      <c r="D354">
        <v>91.68</v>
      </c>
      <c r="E354">
        <v>92.16</v>
      </c>
    </row>
    <row r="355" spans="1:5" x14ac:dyDescent="0.3">
      <c r="A355" s="3">
        <v>45222</v>
      </c>
      <c r="B355">
        <v>92.13</v>
      </c>
      <c r="C355">
        <v>92.43</v>
      </c>
      <c r="D355">
        <v>89.62</v>
      </c>
      <c r="E355">
        <v>89.83</v>
      </c>
    </row>
    <row r="356" spans="1:5" x14ac:dyDescent="0.3">
      <c r="A356" s="3">
        <v>45223</v>
      </c>
      <c r="B356">
        <v>90.35</v>
      </c>
      <c r="C356">
        <v>90.67</v>
      </c>
      <c r="D356">
        <v>87.35</v>
      </c>
      <c r="E356">
        <v>88.07</v>
      </c>
    </row>
    <row r="357" spans="1:5" x14ac:dyDescent="0.3">
      <c r="A357" s="3">
        <v>45224</v>
      </c>
      <c r="B357">
        <v>88.14</v>
      </c>
      <c r="C357">
        <v>90.34</v>
      </c>
      <c r="D357">
        <v>86.67</v>
      </c>
      <c r="E357">
        <v>90.13</v>
      </c>
    </row>
    <row r="358" spans="1:5" x14ac:dyDescent="0.3">
      <c r="A358" s="3">
        <v>45225</v>
      </c>
      <c r="B358">
        <v>90.04</v>
      </c>
      <c r="C358">
        <v>90.36</v>
      </c>
      <c r="D358">
        <v>87.55</v>
      </c>
      <c r="E358">
        <v>87.93</v>
      </c>
    </row>
    <row r="359" spans="1:5" x14ac:dyDescent="0.3">
      <c r="A359" s="3">
        <v>45226</v>
      </c>
      <c r="B359">
        <v>88.26</v>
      </c>
      <c r="C359">
        <v>90.74</v>
      </c>
      <c r="D359">
        <v>87.84</v>
      </c>
      <c r="E359">
        <v>90.48</v>
      </c>
    </row>
    <row r="360" spans="1:5" x14ac:dyDescent="0.3">
      <c r="A360" s="3">
        <v>45229</v>
      </c>
      <c r="B360">
        <v>90.3</v>
      </c>
      <c r="C360">
        <v>90.3</v>
      </c>
      <c r="D360">
        <v>87.22</v>
      </c>
      <c r="E360">
        <v>87.45</v>
      </c>
    </row>
    <row r="361" spans="1:5" x14ac:dyDescent="0.3">
      <c r="A361" s="3">
        <v>45230</v>
      </c>
      <c r="B361">
        <v>87.81</v>
      </c>
      <c r="C361">
        <v>88.53</v>
      </c>
      <c r="D361">
        <v>87.42</v>
      </c>
      <c r="E361">
        <v>87.41</v>
      </c>
    </row>
    <row r="362" spans="1:5" x14ac:dyDescent="0.3">
      <c r="A362" s="3">
        <v>45231</v>
      </c>
      <c r="B362">
        <v>85.45</v>
      </c>
      <c r="C362">
        <v>87.22</v>
      </c>
      <c r="D362">
        <v>84.56</v>
      </c>
      <c r="E362">
        <v>84.63</v>
      </c>
    </row>
    <row r="363" spans="1:5" x14ac:dyDescent="0.3">
      <c r="A363" s="3">
        <v>45232</v>
      </c>
      <c r="B363">
        <v>84.94</v>
      </c>
      <c r="C363">
        <v>87.03</v>
      </c>
      <c r="D363">
        <v>84.61</v>
      </c>
      <c r="E363">
        <v>86.85</v>
      </c>
    </row>
    <row r="364" spans="1:5" x14ac:dyDescent="0.3">
      <c r="A364" s="3">
        <v>45233</v>
      </c>
      <c r="B364">
        <v>86.86</v>
      </c>
      <c r="C364">
        <v>87.78</v>
      </c>
      <c r="D364">
        <v>84.55</v>
      </c>
      <c r="E364">
        <v>84.89</v>
      </c>
    </row>
    <row r="365" spans="1:5" x14ac:dyDescent="0.3">
      <c r="A365" s="3">
        <v>45236</v>
      </c>
      <c r="B365">
        <v>85.39</v>
      </c>
      <c r="C365">
        <v>86.45</v>
      </c>
      <c r="D365">
        <v>84.91</v>
      </c>
      <c r="E365">
        <v>85.18</v>
      </c>
    </row>
    <row r="366" spans="1:5" x14ac:dyDescent="0.3">
      <c r="A366" s="3">
        <v>45237</v>
      </c>
      <c r="B366">
        <v>85.23</v>
      </c>
      <c r="C366">
        <v>85.32</v>
      </c>
      <c r="D366">
        <v>81.42</v>
      </c>
      <c r="E366">
        <v>81.61</v>
      </c>
    </row>
    <row r="367" spans="1:5" x14ac:dyDescent="0.3">
      <c r="A367" s="3">
        <v>45238</v>
      </c>
      <c r="B367">
        <v>81.47</v>
      </c>
      <c r="C367">
        <v>81.93</v>
      </c>
      <c r="D367">
        <v>79.16</v>
      </c>
      <c r="E367">
        <v>79.540000000000006</v>
      </c>
    </row>
    <row r="368" spans="1:5" x14ac:dyDescent="0.3">
      <c r="A368" s="3">
        <v>45239</v>
      </c>
      <c r="B368">
        <v>79.78</v>
      </c>
      <c r="C368">
        <v>81.48</v>
      </c>
      <c r="D368">
        <v>79.44</v>
      </c>
      <c r="E368">
        <v>80.010000000000005</v>
      </c>
    </row>
    <row r="369" spans="1:5" x14ac:dyDescent="0.3">
      <c r="A369" s="3">
        <v>45240</v>
      </c>
      <c r="B369">
        <v>79.7</v>
      </c>
      <c r="C369">
        <v>82.05</v>
      </c>
      <c r="D369">
        <v>79.61</v>
      </c>
      <c r="E369">
        <v>81.430000000000007</v>
      </c>
    </row>
    <row r="370" spans="1:5" x14ac:dyDescent="0.3">
      <c r="A370" s="3">
        <v>45243</v>
      </c>
      <c r="B370">
        <v>81.45</v>
      </c>
      <c r="C370">
        <v>82.82</v>
      </c>
      <c r="D370">
        <v>80.41</v>
      </c>
      <c r="E370">
        <v>82.52</v>
      </c>
    </row>
    <row r="371" spans="1:5" x14ac:dyDescent="0.3">
      <c r="A371" s="3">
        <v>45244</v>
      </c>
      <c r="B371">
        <v>82.75</v>
      </c>
      <c r="C371">
        <v>83.97</v>
      </c>
      <c r="D371">
        <v>82.05</v>
      </c>
      <c r="E371">
        <v>82.47</v>
      </c>
    </row>
    <row r="372" spans="1:5" x14ac:dyDescent="0.3">
      <c r="A372" s="3">
        <v>45245</v>
      </c>
      <c r="B372">
        <v>82.38</v>
      </c>
      <c r="C372">
        <v>83.01</v>
      </c>
      <c r="D372">
        <v>80.8</v>
      </c>
      <c r="E372">
        <v>81.180000000000007</v>
      </c>
    </row>
    <row r="373" spans="1:5" x14ac:dyDescent="0.3">
      <c r="A373" s="3">
        <v>45246</v>
      </c>
      <c r="B373">
        <v>80.94</v>
      </c>
      <c r="C373">
        <v>81.16</v>
      </c>
      <c r="D373">
        <v>76.599999999999994</v>
      </c>
      <c r="E373">
        <v>77.42</v>
      </c>
    </row>
    <row r="374" spans="1:5" x14ac:dyDescent="0.3">
      <c r="A374" s="3">
        <v>45247</v>
      </c>
      <c r="B374">
        <v>77.53</v>
      </c>
      <c r="C374">
        <v>80.8</v>
      </c>
      <c r="D374">
        <v>77.28</v>
      </c>
      <c r="E374">
        <v>80.61</v>
      </c>
    </row>
    <row r="375" spans="1:5" x14ac:dyDescent="0.3">
      <c r="A375" s="3">
        <v>45250</v>
      </c>
      <c r="B375">
        <v>80.47</v>
      </c>
      <c r="C375">
        <v>82.93</v>
      </c>
      <c r="D375">
        <v>79.97</v>
      </c>
      <c r="E375">
        <v>82.32</v>
      </c>
    </row>
    <row r="376" spans="1:5" x14ac:dyDescent="0.3">
      <c r="A376" s="3">
        <v>45251</v>
      </c>
      <c r="B376">
        <v>82.13</v>
      </c>
      <c r="C376">
        <v>82.53</v>
      </c>
      <c r="D376">
        <v>81.41</v>
      </c>
      <c r="E376">
        <v>82.45</v>
      </c>
    </row>
    <row r="377" spans="1:5" x14ac:dyDescent="0.3">
      <c r="A377" s="3">
        <v>45252</v>
      </c>
      <c r="B377">
        <v>82.4</v>
      </c>
      <c r="C377">
        <v>82.63</v>
      </c>
      <c r="D377">
        <v>78.41</v>
      </c>
      <c r="E377">
        <v>81.96</v>
      </c>
    </row>
    <row r="378" spans="1:5" x14ac:dyDescent="0.3">
      <c r="A378" s="3">
        <v>45254</v>
      </c>
      <c r="B378">
        <v>81.63</v>
      </c>
      <c r="C378">
        <v>82.2</v>
      </c>
      <c r="D378">
        <v>80.180000000000007</v>
      </c>
      <c r="E378">
        <v>80.58</v>
      </c>
    </row>
    <row r="379" spans="1:5" x14ac:dyDescent="0.3">
      <c r="A379" s="3">
        <v>45257</v>
      </c>
      <c r="B379">
        <v>80.34</v>
      </c>
      <c r="C379">
        <v>81.180000000000007</v>
      </c>
      <c r="D379">
        <v>79.13</v>
      </c>
      <c r="E379">
        <v>79.98</v>
      </c>
    </row>
    <row r="380" spans="1:5" x14ac:dyDescent="0.3">
      <c r="A380" s="3">
        <v>45258</v>
      </c>
      <c r="B380">
        <v>80.14</v>
      </c>
      <c r="C380">
        <v>82.18</v>
      </c>
      <c r="D380">
        <v>79.83</v>
      </c>
      <c r="E380">
        <v>81.680000000000007</v>
      </c>
    </row>
    <row r="381" spans="1:5" x14ac:dyDescent="0.3">
      <c r="A381" s="3">
        <v>45259</v>
      </c>
      <c r="B381">
        <v>81.93</v>
      </c>
      <c r="C381">
        <v>83.24</v>
      </c>
      <c r="D381">
        <v>80.959999999999994</v>
      </c>
      <c r="E381">
        <v>83.1</v>
      </c>
    </row>
    <row r="382" spans="1:5" x14ac:dyDescent="0.3">
      <c r="A382" s="3">
        <v>45260</v>
      </c>
      <c r="B382">
        <v>82.87</v>
      </c>
      <c r="C382">
        <v>84.71</v>
      </c>
      <c r="D382">
        <v>82.67</v>
      </c>
      <c r="E382">
        <v>82.83</v>
      </c>
    </row>
    <row r="383" spans="1:5" x14ac:dyDescent="0.3">
      <c r="A383" s="3">
        <v>45261</v>
      </c>
      <c r="B383">
        <v>80.47</v>
      </c>
      <c r="C383">
        <v>81.52</v>
      </c>
      <c r="D383">
        <v>78.75</v>
      </c>
      <c r="E383">
        <v>78.88</v>
      </c>
    </row>
    <row r="384" spans="1:5" x14ac:dyDescent="0.3">
      <c r="A384" s="3">
        <v>45264</v>
      </c>
      <c r="B384">
        <v>79.430000000000007</v>
      </c>
      <c r="C384">
        <v>79.66</v>
      </c>
      <c r="D384">
        <v>77.52</v>
      </c>
      <c r="E384">
        <v>78.03</v>
      </c>
    </row>
    <row r="385" spans="1:5" x14ac:dyDescent="0.3">
      <c r="A385" s="3">
        <v>45265</v>
      </c>
      <c r="B385">
        <v>78.2</v>
      </c>
      <c r="C385">
        <v>79.069999999999993</v>
      </c>
      <c r="D385">
        <v>76.98</v>
      </c>
      <c r="E385">
        <v>77.2</v>
      </c>
    </row>
    <row r="386" spans="1:5" x14ac:dyDescent="0.3">
      <c r="A386" s="3">
        <v>45266</v>
      </c>
      <c r="B386">
        <v>77.06</v>
      </c>
      <c r="C386">
        <v>77.63</v>
      </c>
      <c r="D386">
        <v>74.11</v>
      </c>
      <c r="E386">
        <v>74.3</v>
      </c>
    </row>
    <row r="387" spans="1:5" x14ac:dyDescent="0.3">
      <c r="A387" s="3">
        <v>45267</v>
      </c>
      <c r="B387">
        <v>74.3</v>
      </c>
      <c r="C387">
        <v>75.48</v>
      </c>
      <c r="D387">
        <v>73.61</v>
      </c>
      <c r="E387">
        <v>74.05</v>
      </c>
    </row>
    <row r="388" spans="1:5" x14ac:dyDescent="0.3">
      <c r="A388" s="3">
        <v>45268</v>
      </c>
      <c r="B388">
        <v>74.5</v>
      </c>
      <c r="C388">
        <v>76.36</v>
      </c>
      <c r="D388">
        <v>74.23</v>
      </c>
      <c r="E388">
        <v>75.84</v>
      </c>
    </row>
    <row r="389" spans="1:5" x14ac:dyDescent="0.3">
      <c r="A389" s="3">
        <v>45271</v>
      </c>
      <c r="B389">
        <v>75.66</v>
      </c>
      <c r="C389">
        <v>76.48</v>
      </c>
      <c r="D389">
        <v>75</v>
      </c>
      <c r="E389">
        <v>76.03</v>
      </c>
    </row>
    <row r="390" spans="1:5" x14ac:dyDescent="0.3">
      <c r="A390" s="3">
        <v>45272</v>
      </c>
      <c r="B390">
        <v>76.25</v>
      </c>
      <c r="C390">
        <v>76.64</v>
      </c>
      <c r="D390">
        <v>72.86</v>
      </c>
      <c r="E390">
        <v>73.239999999999995</v>
      </c>
    </row>
    <row r="391" spans="1:5" x14ac:dyDescent="0.3">
      <c r="A391" s="3">
        <v>45273</v>
      </c>
      <c r="B391">
        <v>73.36</v>
      </c>
      <c r="C391">
        <v>74.7</v>
      </c>
      <c r="D391">
        <v>72.3</v>
      </c>
      <c r="E391">
        <v>74.260000000000005</v>
      </c>
    </row>
    <row r="392" spans="1:5" x14ac:dyDescent="0.3">
      <c r="A392" s="3">
        <v>45274</v>
      </c>
      <c r="B392">
        <v>74.709999999999994</v>
      </c>
      <c r="C392">
        <v>77.349999999999994</v>
      </c>
      <c r="D392">
        <v>74.459999999999994</v>
      </c>
      <c r="E392">
        <v>76.61</v>
      </c>
    </row>
    <row r="393" spans="1:5" x14ac:dyDescent="0.3">
      <c r="A393" s="3">
        <v>45275</v>
      </c>
      <c r="B393">
        <v>76.599999999999994</v>
      </c>
      <c r="C393">
        <v>77.22</v>
      </c>
      <c r="D393">
        <v>75.33</v>
      </c>
      <c r="E393">
        <v>76.55</v>
      </c>
    </row>
    <row r="394" spans="1:5" x14ac:dyDescent="0.3">
      <c r="A394" s="3">
        <v>45278</v>
      </c>
      <c r="B394">
        <v>76.97</v>
      </c>
      <c r="C394">
        <v>79.510000000000005</v>
      </c>
      <c r="D394">
        <v>75.78</v>
      </c>
      <c r="E394">
        <v>77.95</v>
      </c>
    </row>
    <row r="395" spans="1:5" x14ac:dyDescent="0.3">
      <c r="A395" s="3">
        <v>45279</v>
      </c>
      <c r="B395">
        <v>78.05</v>
      </c>
      <c r="C395">
        <v>79.66</v>
      </c>
      <c r="D395">
        <v>77.430000000000007</v>
      </c>
      <c r="E395">
        <v>79.23</v>
      </c>
    </row>
    <row r="396" spans="1:5" x14ac:dyDescent="0.3">
      <c r="A396" s="3">
        <v>45280</v>
      </c>
      <c r="B396">
        <v>79.25</v>
      </c>
      <c r="C396">
        <v>80.61</v>
      </c>
      <c r="D396">
        <v>79.08</v>
      </c>
      <c r="E396">
        <v>79.7</v>
      </c>
    </row>
    <row r="397" spans="1:5" x14ac:dyDescent="0.3">
      <c r="A397" s="3">
        <v>45281</v>
      </c>
      <c r="B397">
        <v>79.14</v>
      </c>
      <c r="C397">
        <v>80.12</v>
      </c>
      <c r="D397">
        <v>77.849999999999994</v>
      </c>
      <c r="E397">
        <v>79.39</v>
      </c>
    </row>
    <row r="398" spans="1:5" x14ac:dyDescent="0.3">
      <c r="A398" s="3">
        <v>45282</v>
      </c>
      <c r="B398">
        <v>79.44</v>
      </c>
      <c r="C398">
        <v>80.37</v>
      </c>
      <c r="D398">
        <v>78.83</v>
      </c>
      <c r="E398">
        <v>79.069999999999993</v>
      </c>
    </row>
    <row r="399" spans="1:5" x14ac:dyDescent="0.3">
      <c r="A399" s="3">
        <v>45286</v>
      </c>
      <c r="B399">
        <v>79.19</v>
      </c>
      <c r="C399">
        <v>81.709999999999994</v>
      </c>
      <c r="D399">
        <v>78.81</v>
      </c>
      <c r="E399">
        <v>81.069999999999993</v>
      </c>
    </row>
    <row r="400" spans="1:5" x14ac:dyDescent="0.3">
      <c r="A400" s="3">
        <v>45287</v>
      </c>
      <c r="B400">
        <v>80.739999999999995</v>
      </c>
      <c r="C400">
        <v>81.319999999999993</v>
      </c>
      <c r="D400">
        <v>79.489999999999995</v>
      </c>
      <c r="E400">
        <v>79.650000000000006</v>
      </c>
    </row>
    <row r="401" spans="1:5" x14ac:dyDescent="0.3">
      <c r="A401" s="3">
        <v>45288</v>
      </c>
      <c r="B401">
        <v>79.84</v>
      </c>
      <c r="C401">
        <v>79.959999999999994</v>
      </c>
      <c r="D401">
        <v>78.34</v>
      </c>
      <c r="E401">
        <v>78.39</v>
      </c>
    </row>
    <row r="402" spans="1:5" x14ac:dyDescent="0.3">
      <c r="A402" s="3">
        <v>45289</v>
      </c>
      <c r="B402">
        <v>77.42</v>
      </c>
      <c r="C402">
        <v>77.97</v>
      </c>
      <c r="D402">
        <v>76.75</v>
      </c>
      <c r="E402">
        <v>77.040000000000006</v>
      </c>
    </row>
    <row r="403" spans="1:5" x14ac:dyDescent="0.3">
      <c r="A403" s="3">
        <v>45293</v>
      </c>
      <c r="B403">
        <v>77.209999999999994</v>
      </c>
      <c r="C403">
        <v>79.040000000000006</v>
      </c>
      <c r="D403">
        <v>75.599999999999994</v>
      </c>
      <c r="E403">
        <v>75.89</v>
      </c>
    </row>
    <row r="404" spans="1:5" x14ac:dyDescent="0.3">
      <c r="A404" s="3">
        <v>45294</v>
      </c>
      <c r="B404">
        <v>75.989999999999995</v>
      </c>
      <c r="C404">
        <v>78.67</v>
      </c>
      <c r="D404">
        <v>74.790000000000006</v>
      </c>
      <c r="E404">
        <v>78.25</v>
      </c>
    </row>
    <row r="405" spans="1:5" x14ac:dyDescent="0.3">
      <c r="A405" s="3">
        <v>45295</v>
      </c>
      <c r="B405">
        <v>78.5</v>
      </c>
      <c r="C405">
        <v>79.400000000000006</v>
      </c>
      <c r="D405">
        <v>76.5</v>
      </c>
      <c r="E405">
        <v>77.59</v>
      </c>
    </row>
    <row r="406" spans="1:5" x14ac:dyDescent="0.3">
      <c r="A406" s="3">
        <v>45296</v>
      </c>
      <c r="B406">
        <v>77.599999999999994</v>
      </c>
      <c r="C406">
        <v>79.25</v>
      </c>
      <c r="D406">
        <v>77.5</v>
      </c>
      <c r="E406">
        <v>78.760000000000005</v>
      </c>
    </row>
    <row r="407" spans="1:5" x14ac:dyDescent="0.3">
      <c r="A407" s="3">
        <v>45299</v>
      </c>
      <c r="B407">
        <v>78.599999999999994</v>
      </c>
      <c r="C407">
        <v>78.95</v>
      </c>
      <c r="D407">
        <v>75.260000000000005</v>
      </c>
      <c r="E407">
        <v>76.12</v>
      </c>
    </row>
    <row r="408" spans="1:5" x14ac:dyDescent="0.3">
      <c r="A408" s="3">
        <v>45300</v>
      </c>
      <c r="B408">
        <v>76.36</v>
      </c>
      <c r="C408">
        <v>78.180000000000007</v>
      </c>
      <c r="D408">
        <v>75.959999999999994</v>
      </c>
      <c r="E408">
        <v>77.59</v>
      </c>
    </row>
    <row r="409" spans="1:5" x14ac:dyDescent="0.3">
      <c r="A409" s="3">
        <v>45301</v>
      </c>
      <c r="B409">
        <v>77.459999999999994</v>
      </c>
      <c r="C409">
        <v>78.73</v>
      </c>
      <c r="D409">
        <v>76.38</v>
      </c>
      <c r="E409">
        <v>76.8</v>
      </c>
    </row>
    <row r="410" spans="1:5" x14ac:dyDescent="0.3">
      <c r="A410" s="3">
        <v>45302</v>
      </c>
      <c r="B410">
        <v>76.739999999999995</v>
      </c>
      <c r="C410">
        <v>79.09</v>
      </c>
      <c r="D410">
        <v>76.650000000000006</v>
      </c>
      <c r="E410">
        <v>77.41</v>
      </c>
    </row>
    <row r="411" spans="1:5" x14ac:dyDescent="0.3">
      <c r="A411" s="3">
        <v>45303</v>
      </c>
      <c r="B411">
        <v>78.459999999999994</v>
      </c>
      <c r="C411">
        <v>80.739999999999995</v>
      </c>
      <c r="D411">
        <v>77.930000000000007</v>
      </c>
      <c r="E411">
        <v>78.290000000000006</v>
      </c>
    </row>
    <row r="412" spans="1:5" x14ac:dyDescent="0.3">
      <c r="A412" s="3">
        <v>45307</v>
      </c>
      <c r="B412">
        <v>78.08</v>
      </c>
      <c r="C412">
        <v>79.39</v>
      </c>
      <c r="D412">
        <v>76.83</v>
      </c>
      <c r="E412">
        <v>78.290000000000006</v>
      </c>
    </row>
    <row r="413" spans="1:5" x14ac:dyDescent="0.3">
      <c r="A413" s="3">
        <v>45308</v>
      </c>
      <c r="B413">
        <v>77.86</v>
      </c>
      <c r="C413">
        <v>78.180000000000007</v>
      </c>
      <c r="D413">
        <v>76.5</v>
      </c>
      <c r="E413">
        <v>77.88</v>
      </c>
    </row>
    <row r="414" spans="1:5" x14ac:dyDescent="0.3">
      <c r="A414" s="3">
        <v>45309</v>
      </c>
      <c r="B414">
        <v>78.05</v>
      </c>
      <c r="C414">
        <v>79.3</v>
      </c>
      <c r="D414">
        <v>77.34</v>
      </c>
      <c r="E414">
        <v>79.099999999999994</v>
      </c>
    </row>
    <row r="415" spans="1:5" x14ac:dyDescent="0.3">
      <c r="A415" s="3">
        <v>45310</v>
      </c>
      <c r="B415">
        <v>78.98</v>
      </c>
      <c r="C415">
        <v>79.75</v>
      </c>
      <c r="D415">
        <v>78.33</v>
      </c>
      <c r="E415">
        <v>78.56</v>
      </c>
    </row>
    <row r="416" spans="1:5" x14ac:dyDescent="0.3">
      <c r="A416" s="3">
        <v>45313</v>
      </c>
      <c r="B416">
        <v>78.849999999999994</v>
      </c>
      <c r="C416">
        <v>80.55</v>
      </c>
      <c r="D416">
        <v>77.819999999999993</v>
      </c>
      <c r="E416">
        <v>80.06</v>
      </c>
    </row>
    <row r="417" spans="1:5" x14ac:dyDescent="0.3">
      <c r="A417" s="3">
        <v>45314</v>
      </c>
      <c r="B417">
        <v>79.91</v>
      </c>
      <c r="C417">
        <v>80.44</v>
      </c>
      <c r="D417">
        <v>78.7</v>
      </c>
      <c r="E417">
        <v>79.55</v>
      </c>
    </row>
    <row r="418" spans="1:5" x14ac:dyDescent="0.3">
      <c r="A418" s="3">
        <v>45315</v>
      </c>
      <c r="B418">
        <v>79.739999999999995</v>
      </c>
      <c r="C418">
        <v>80.739999999999995</v>
      </c>
      <c r="D418">
        <v>79.05</v>
      </c>
      <c r="E418">
        <v>80.040000000000006</v>
      </c>
    </row>
    <row r="419" spans="1:5" x14ac:dyDescent="0.3">
      <c r="A419" s="3">
        <v>45316</v>
      </c>
      <c r="B419">
        <v>80.31</v>
      </c>
      <c r="C419">
        <v>82.56</v>
      </c>
      <c r="D419">
        <v>80.069999999999993</v>
      </c>
      <c r="E419">
        <v>82.43</v>
      </c>
    </row>
    <row r="420" spans="1:5" x14ac:dyDescent="0.3">
      <c r="A420" s="3">
        <v>45317</v>
      </c>
      <c r="B420">
        <v>82.39</v>
      </c>
      <c r="C420">
        <v>83.83</v>
      </c>
      <c r="D420">
        <v>81.319999999999993</v>
      </c>
      <c r="E420">
        <v>83.55</v>
      </c>
    </row>
    <row r="421" spans="1:5" x14ac:dyDescent="0.3">
      <c r="A421" s="3">
        <v>45320</v>
      </c>
      <c r="B421">
        <v>84.13</v>
      </c>
      <c r="C421">
        <v>84.79</v>
      </c>
      <c r="D421">
        <v>82.04</v>
      </c>
      <c r="E421">
        <v>82.4</v>
      </c>
    </row>
    <row r="422" spans="1:5" x14ac:dyDescent="0.3">
      <c r="A422" s="3">
        <v>45321</v>
      </c>
      <c r="B422">
        <v>82.57</v>
      </c>
      <c r="C422">
        <v>83.25</v>
      </c>
      <c r="D422">
        <v>81.34</v>
      </c>
      <c r="E422">
        <v>82.87</v>
      </c>
    </row>
    <row r="423" spans="1:5" x14ac:dyDescent="0.3">
      <c r="A423" s="3">
        <v>45322</v>
      </c>
      <c r="B423">
        <v>82.59</v>
      </c>
      <c r="C423">
        <v>82.8</v>
      </c>
      <c r="D423">
        <v>81.88</v>
      </c>
      <c r="E423">
        <v>81.709999999999994</v>
      </c>
    </row>
    <row r="424" spans="1:5" x14ac:dyDescent="0.3">
      <c r="A424" s="3">
        <v>45323</v>
      </c>
      <c r="B424">
        <v>80.67</v>
      </c>
      <c r="C424">
        <v>81.55</v>
      </c>
      <c r="D424">
        <v>78.58</v>
      </c>
      <c r="E424">
        <v>78.7</v>
      </c>
    </row>
    <row r="425" spans="1:5" x14ac:dyDescent="0.3">
      <c r="A425" s="3">
        <v>45324</v>
      </c>
      <c r="B425">
        <v>78.92</v>
      </c>
      <c r="C425">
        <v>79.44</v>
      </c>
      <c r="D425">
        <v>76.86</v>
      </c>
      <c r="E425">
        <v>77.33</v>
      </c>
    </row>
    <row r="426" spans="1:5" x14ac:dyDescent="0.3">
      <c r="A426" s="3">
        <v>45327</v>
      </c>
      <c r="B426">
        <v>77.66</v>
      </c>
      <c r="C426">
        <v>78.33</v>
      </c>
      <c r="D426">
        <v>76.62</v>
      </c>
      <c r="E426">
        <v>77.989999999999995</v>
      </c>
    </row>
    <row r="427" spans="1:5" x14ac:dyDescent="0.3">
      <c r="A427" s="3">
        <v>45328</v>
      </c>
      <c r="B427">
        <v>77.94</v>
      </c>
      <c r="C427">
        <v>79.069999999999993</v>
      </c>
      <c r="D427">
        <v>77.650000000000006</v>
      </c>
      <c r="E427">
        <v>78.59</v>
      </c>
    </row>
    <row r="428" spans="1:5" x14ac:dyDescent="0.3">
      <c r="A428" s="3">
        <v>45329</v>
      </c>
      <c r="B428">
        <v>78.7</v>
      </c>
      <c r="C428">
        <v>79.47</v>
      </c>
      <c r="D428">
        <v>78.489999999999995</v>
      </c>
      <c r="E428">
        <v>79.209999999999994</v>
      </c>
    </row>
    <row r="429" spans="1:5" x14ac:dyDescent="0.3">
      <c r="A429" s="3">
        <v>45330</v>
      </c>
      <c r="B429">
        <v>79.38</v>
      </c>
      <c r="C429">
        <v>81.89</v>
      </c>
      <c r="D429">
        <v>79.02</v>
      </c>
      <c r="E429">
        <v>81.63</v>
      </c>
    </row>
    <row r="430" spans="1:5" x14ac:dyDescent="0.3">
      <c r="A430" s="3">
        <v>45331</v>
      </c>
      <c r="B430">
        <v>81.73</v>
      </c>
      <c r="C430">
        <v>82.46</v>
      </c>
      <c r="D430">
        <v>81.209999999999994</v>
      </c>
      <c r="E430">
        <v>82.19</v>
      </c>
    </row>
    <row r="431" spans="1:5" x14ac:dyDescent="0.3">
      <c r="A431" s="3">
        <v>45334</v>
      </c>
      <c r="B431">
        <v>81.760000000000005</v>
      </c>
      <c r="C431">
        <v>82.21</v>
      </c>
      <c r="D431">
        <v>80.790000000000006</v>
      </c>
      <c r="E431">
        <v>82</v>
      </c>
    </row>
    <row r="432" spans="1:5" x14ac:dyDescent="0.3">
      <c r="A432" s="3">
        <v>45335</v>
      </c>
      <c r="B432">
        <v>82.05</v>
      </c>
      <c r="C432">
        <v>83.23</v>
      </c>
      <c r="D432">
        <v>81.96</v>
      </c>
      <c r="E432">
        <v>82.77</v>
      </c>
    </row>
    <row r="433" spans="1:5" x14ac:dyDescent="0.3">
      <c r="A433" s="3">
        <v>45336</v>
      </c>
      <c r="B433">
        <v>82.66</v>
      </c>
      <c r="C433">
        <v>83.61</v>
      </c>
      <c r="D433">
        <v>81.39</v>
      </c>
      <c r="E433">
        <v>81.599999999999994</v>
      </c>
    </row>
    <row r="434" spans="1:5" x14ac:dyDescent="0.3">
      <c r="A434" s="3">
        <v>45337</v>
      </c>
      <c r="B434">
        <v>81.52</v>
      </c>
      <c r="C434">
        <v>83.25</v>
      </c>
      <c r="D434">
        <v>80.72</v>
      </c>
      <c r="E434">
        <v>82.86</v>
      </c>
    </row>
    <row r="435" spans="1:5" x14ac:dyDescent="0.3">
      <c r="A435" s="3">
        <v>45338</v>
      </c>
      <c r="B435">
        <v>82.83</v>
      </c>
      <c r="C435">
        <v>83.66</v>
      </c>
      <c r="D435">
        <v>81.900000000000006</v>
      </c>
      <c r="E435">
        <v>83.47</v>
      </c>
    </row>
    <row r="436" spans="1:5" x14ac:dyDescent="0.3">
      <c r="A436" s="3">
        <v>45342</v>
      </c>
      <c r="B436">
        <v>83.3</v>
      </c>
      <c r="C436">
        <v>83.63</v>
      </c>
      <c r="D436">
        <v>82.05</v>
      </c>
      <c r="E436">
        <v>82.34</v>
      </c>
    </row>
    <row r="437" spans="1:5" x14ac:dyDescent="0.3">
      <c r="A437" s="3">
        <v>45343</v>
      </c>
      <c r="B437">
        <v>82.56</v>
      </c>
      <c r="C437">
        <v>83.17</v>
      </c>
      <c r="D437">
        <v>81.67</v>
      </c>
      <c r="E437">
        <v>83.03</v>
      </c>
    </row>
    <row r="438" spans="1:5" x14ac:dyDescent="0.3">
      <c r="A438" s="3">
        <v>45344</v>
      </c>
      <c r="B438">
        <v>83.16</v>
      </c>
      <c r="C438">
        <v>83.97</v>
      </c>
      <c r="D438">
        <v>82.34</v>
      </c>
      <c r="E438">
        <v>83.67</v>
      </c>
    </row>
    <row r="439" spans="1:5" x14ac:dyDescent="0.3">
      <c r="A439" s="3">
        <v>45345</v>
      </c>
      <c r="B439">
        <v>83.42</v>
      </c>
      <c r="C439">
        <v>83.48</v>
      </c>
      <c r="D439">
        <v>81.44</v>
      </c>
      <c r="E439">
        <v>81.62</v>
      </c>
    </row>
    <row r="440" spans="1:5" x14ac:dyDescent="0.3">
      <c r="A440" s="3">
        <v>45348</v>
      </c>
      <c r="B440">
        <v>81.59</v>
      </c>
      <c r="C440">
        <v>83.06</v>
      </c>
      <c r="D440">
        <v>81.02</v>
      </c>
      <c r="E440">
        <v>82.53</v>
      </c>
    </row>
    <row r="441" spans="1:5" x14ac:dyDescent="0.3">
      <c r="A441" s="3">
        <v>45349</v>
      </c>
      <c r="B441">
        <v>82.55</v>
      </c>
      <c r="C441">
        <v>83.74</v>
      </c>
      <c r="D441">
        <v>82.1</v>
      </c>
      <c r="E441">
        <v>83.65</v>
      </c>
    </row>
    <row r="442" spans="1:5" x14ac:dyDescent="0.3">
      <c r="A442" s="3">
        <v>45350</v>
      </c>
      <c r="B442">
        <v>83.4</v>
      </c>
      <c r="C442">
        <v>84.3</v>
      </c>
      <c r="D442">
        <v>82.62</v>
      </c>
      <c r="E442">
        <v>83.68</v>
      </c>
    </row>
    <row r="443" spans="1:5" x14ac:dyDescent="0.3">
      <c r="A443" s="3">
        <v>45351</v>
      </c>
      <c r="B443">
        <v>83.65</v>
      </c>
      <c r="C443">
        <v>83.74</v>
      </c>
      <c r="D443">
        <v>83.04</v>
      </c>
      <c r="E443">
        <v>83.62</v>
      </c>
    </row>
    <row r="444" spans="1:5" x14ac:dyDescent="0.3">
      <c r="A444" s="3">
        <v>45352</v>
      </c>
      <c r="B444">
        <v>81.97</v>
      </c>
      <c r="C444">
        <v>84.35</v>
      </c>
      <c r="D444">
        <v>81.81</v>
      </c>
      <c r="E444">
        <v>83.55</v>
      </c>
    </row>
    <row r="445" spans="1:5" x14ac:dyDescent="0.3">
      <c r="A445" s="3">
        <v>45355</v>
      </c>
      <c r="B445">
        <v>83.59</v>
      </c>
      <c r="C445">
        <v>84.07</v>
      </c>
      <c r="D445">
        <v>82.58</v>
      </c>
      <c r="E445">
        <v>82.8</v>
      </c>
    </row>
    <row r="446" spans="1:5" x14ac:dyDescent="0.3">
      <c r="A446" s="3">
        <v>45356</v>
      </c>
      <c r="B446">
        <v>82.97</v>
      </c>
      <c r="C446">
        <v>83.14</v>
      </c>
      <c r="D446">
        <v>81.73</v>
      </c>
      <c r="E446">
        <v>82.04</v>
      </c>
    </row>
    <row r="447" spans="1:5" x14ac:dyDescent="0.3">
      <c r="A447" s="3">
        <v>45357</v>
      </c>
      <c r="B447">
        <v>82.08</v>
      </c>
      <c r="C447">
        <v>84.06</v>
      </c>
      <c r="D447">
        <v>81.89</v>
      </c>
      <c r="E447">
        <v>82.96</v>
      </c>
    </row>
    <row r="448" spans="1:5" x14ac:dyDescent="0.3">
      <c r="A448" s="3">
        <v>45358</v>
      </c>
      <c r="B448">
        <v>82.84</v>
      </c>
      <c r="C448">
        <v>83.47</v>
      </c>
      <c r="D448">
        <v>82.07</v>
      </c>
      <c r="E448">
        <v>82.96</v>
      </c>
    </row>
    <row r="449" spans="1:5" x14ac:dyDescent="0.3">
      <c r="A449" s="3">
        <v>45359</v>
      </c>
      <c r="B449">
        <v>83.34</v>
      </c>
      <c r="C449">
        <v>83.84</v>
      </c>
      <c r="D449">
        <v>81.709999999999994</v>
      </c>
      <c r="E449">
        <v>82.08</v>
      </c>
    </row>
    <row r="450" spans="1:5" x14ac:dyDescent="0.3">
      <c r="A450" s="3">
        <v>45362</v>
      </c>
      <c r="B450">
        <v>81.91</v>
      </c>
      <c r="C450">
        <v>82.73</v>
      </c>
      <c r="D450">
        <v>81.08</v>
      </c>
      <c r="E450">
        <v>82.21</v>
      </c>
    </row>
    <row r="451" spans="1:5" x14ac:dyDescent="0.3">
      <c r="A451" s="3">
        <v>45363</v>
      </c>
      <c r="B451">
        <v>82.43</v>
      </c>
      <c r="C451">
        <v>83.01</v>
      </c>
      <c r="D451">
        <v>81.69</v>
      </c>
      <c r="E451">
        <v>81.92</v>
      </c>
    </row>
    <row r="452" spans="1:5" x14ac:dyDescent="0.3">
      <c r="A452" s="3">
        <v>45364</v>
      </c>
      <c r="B452">
        <v>82.39</v>
      </c>
      <c r="C452">
        <v>84.22</v>
      </c>
      <c r="D452">
        <v>81.97</v>
      </c>
      <c r="E452">
        <v>84.03</v>
      </c>
    </row>
    <row r="453" spans="1:5" x14ac:dyDescent="0.3">
      <c r="A453" s="3">
        <v>45365</v>
      </c>
      <c r="B453">
        <v>83.98</v>
      </c>
      <c r="C453">
        <v>85.68</v>
      </c>
      <c r="D453">
        <v>83.94</v>
      </c>
      <c r="E453">
        <v>85.42</v>
      </c>
    </row>
    <row r="454" spans="1:5" x14ac:dyDescent="0.3">
      <c r="A454" s="3">
        <v>45366</v>
      </c>
      <c r="B454">
        <v>85.13</v>
      </c>
      <c r="C454">
        <v>85.55</v>
      </c>
      <c r="D454">
        <v>84.63</v>
      </c>
      <c r="E454">
        <v>85.34</v>
      </c>
    </row>
    <row r="455" spans="1:5" x14ac:dyDescent="0.3">
      <c r="A455" s="3">
        <v>45369</v>
      </c>
      <c r="B455">
        <v>85.38</v>
      </c>
      <c r="C455">
        <v>87.18</v>
      </c>
      <c r="D455">
        <v>85.26</v>
      </c>
      <c r="E455">
        <v>86.89</v>
      </c>
    </row>
    <row r="456" spans="1:5" x14ac:dyDescent="0.3">
      <c r="A456" s="3">
        <v>45370</v>
      </c>
      <c r="B456">
        <v>86.85</v>
      </c>
      <c r="C456">
        <v>87.71</v>
      </c>
      <c r="D456">
        <v>86.49</v>
      </c>
      <c r="E456">
        <v>87.38</v>
      </c>
    </row>
    <row r="457" spans="1:5" x14ac:dyDescent="0.3">
      <c r="A457" s="3">
        <v>45371</v>
      </c>
      <c r="B457">
        <v>87.22</v>
      </c>
      <c r="C457">
        <v>87.35</v>
      </c>
      <c r="D457">
        <v>85.58</v>
      </c>
      <c r="E457">
        <v>85.95</v>
      </c>
    </row>
    <row r="458" spans="1:5" x14ac:dyDescent="0.3">
      <c r="A458" s="3">
        <v>45372</v>
      </c>
      <c r="B458">
        <v>86.16</v>
      </c>
      <c r="C458">
        <v>86.64</v>
      </c>
      <c r="D458">
        <v>85.05</v>
      </c>
      <c r="E458">
        <v>85.78</v>
      </c>
    </row>
    <row r="459" spans="1:5" x14ac:dyDescent="0.3">
      <c r="A459" s="3">
        <v>45373</v>
      </c>
      <c r="B459">
        <v>85.55</v>
      </c>
      <c r="C459">
        <v>86.15</v>
      </c>
      <c r="D459">
        <v>85.11</v>
      </c>
      <c r="E459">
        <v>85.43</v>
      </c>
    </row>
    <row r="460" spans="1:5" x14ac:dyDescent="0.3">
      <c r="A460" s="3">
        <v>45376</v>
      </c>
      <c r="B460">
        <v>85.6</v>
      </c>
      <c r="C460">
        <v>87.18</v>
      </c>
      <c r="D460">
        <v>85.4</v>
      </c>
      <c r="E460">
        <v>86.75</v>
      </c>
    </row>
    <row r="461" spans="1:5" x14ac:dyDescent="0.3">
      <c r="A461" s="3">
        <v>45377</v>
      </c>
      <c r="B461">
        <v>86.77</v>
      </c>
      <c r="C461">
        <v>87.05</v>
      </c>
      <c r="D461">
        <v>85.81</v>
      </c>
      <c r="E461">
        <v>86.25</v>
      </c>
    </row>
    <row r="462" spans="1:5" x14ac:dyDescent="0.3">
      <c r="A462" s="3">
        <v>45378</v>
      </c>
      <c r="B462">
        <v>85.97</v>
      </c>
      <c r="C462">
        <v>86.36</v>
      </c>
      <c r="D462">
        <v>85.18</v>
      </c>
      <c r="E462">
        <v>86.09</v>
      </c>
    </row>
    <row r="463" spans="1:5" x14ac:dyDescent="0.3">
      <c r="A463" s="3">
        <v>45379</v>
      </c>
      <c r="B463">
        <v>86.53</v>
      </c>
      <c r="C463">
        <v>87.45</v>
      </c>
      <c r="D463">
        <v>86.32</v>
      </c>
      <c r="E463">
        <v>87.48</v>
      </c>
    </row>
    <row r="464" spans="1:5" x14ac:dyDescent="0.3">
      <c r="A464" s="3">
        <v>45383</v>
      </c>
      <c r="B464">
        <v>86.93</v>
      </c>
      <c r="C464">
        <v>87.99</v>
      </c>
      <c r="D464">
        <v>86.4</v>
      </c>
      <c r="E464">
        <v>87.42</v>
      </c>
    </row>
    <row r="465" spans="1:5" x14ac:dyDescent="0.3">
      <c r="A465" s="3">
        <v>45384</v>
      </c>
      <c r="B465">
        <v>87.8</v>
      </c>
      <c r="C465">
        <v>89.28</v>
      </c>
      <c r="D465">
        <v>87.65</v>
      </c>
      <c r="E465">
        <v>88.92</v>
      </c>
    </row>
    <row r="466" spans="1:5" x14ac:dyDescent="0.3">
      <c r="A466" s="3">
        <v>45385</v>
      </c>
      <c r="B466">
        <v>89.21</v>
      </c>
      <c r="C466">
        <v>89.98</v>
      </c>
      <c r="D466">
        <v>88.68</v>
      </c>
      <c r="E466">
        <v>89.35</v>
      </c>
    </row>
    <row r="467" spans="1:5" x14ac:dyDescent="0.3">
      <c r="A467" s="3">
        <v>45386</v>
      </c>
      <c r="B467">
        <v>89.5</v>
      </c>
      <c r="C467">
        <v>91.3</v>
      </c>
      <c r="D467">
        <v>88.73</v>
      </c>
      <c r="E467">
        <v>90.65</v>
      </c>
    </row>
    <row r="468" spans="1:5" x14ac:dyDescent="0.3">
      <c r="A468" s="3">
        <v>45387</v>
      </c>
      <c r="B468">
        <v>91.01</v>
      </c>
      <c r="C468">
        <v>91.91</v>
      </c>
      <c r="D468">
        <v>90.57</v>
      </c>
      <c r="E468">
        <v>91.17</v>
      </c>
    </row>
    <row r="469" spans="1:5" x14ac:dyDescent="0.3">
      <c r="A469" s="3">
        <v>45390</v>
      </c>
      <c r="B469">
        <v>90.31</v>
      </c>
      <c r="C469">
        <v>91.1</v>
      </c>
      <c r="D469">
        <v>88.8</v>
      </c>
      <c r="E469">
        <v>90.38</v>
      </c>
    </row>
    <row r="470" spans="1:5" x14ac:dyDescent="0.3">
      <c r="A470" s="3">
        <v>45391</v>
      </c>
      <c r="B470">
        <v>90.55</v>
      </c>
      <c r="C470">
        <v>90.94</v>
      </c>
      <c r="D470">
        <v>89.27</v>
      </c>
      <c r="E470">
        <v>89.42</v>
      </c>
    </row>
    <row r="471" spans="1:5" x14ac:dyDescent="0.3">
      <c r="A471" s="3">
        <v>45392</v>
      </c>
      <c r="B471">
        <v>89.51</v>
      </c>
      <c r="C471">
        <v>90.66</v>
      </c>
      <c r="D471">
        <v>88.83</v>
      </c>
      <c r="E471">
        <v>90.48</v>
      </c>
    </row>
    <row r="472" spans="1:5" x14ac:dyDescent="0.3">
      <c r="A472" s="3">
        <v>45393</v>
      </c>
      <c r="B472">
        <v>90.54</v>
      </c>
      <c r="C472">
        <v>90.92</v>
      </c>
      <c r="D472">
        <v>89.37</v>
      </c>
      <c r="E472">
        <v>89.74</v>
      </c>
    </row>
    <row r="473" spans="1:5" x14ac:dyDescent="0.3">
      <c r="A473" s="3">
        <v>45394</v>
      </c>
      <c r="B473">
        <v>90.29</v>
      </c>
      <c r="C473">
        <v>92.18</v>
      </c>
      <c r="D473">
        <v>90.01</v>
      </c>
      <c r="E473">
        <v>90.45</v>
      </c>
    </row>
    <row r="474" spans="1:5" x14ac:dyDescent="0.3">
      <c r="A474" s="3">
        <v>45397</v>
      </c>
      <c r="B474">
        <v>90.37</v>
      </c>
      <c r="C474">
        <v>91.15</v>
      </c>
      <c r="D474">
        <v>88.73</v>
      </c>
      <c r="E474">
        <v>90.1</v>
      </c>
    </row>
    <row r="475" spans="1:5" x14ac:dyDescent="0.3">
      <c r="A475" s="3">
        <v>45398</v>
      </c>
      <c r="B475">
        <v>90.43</v>
      </c>
      <c r="C475">
        <v>90.83</v>
      </c>
      <c r="D475">
        <v>89.41</v>
      </c>
      <c r="E475">
        <v>90.02</v>
      </c>
    </row>
    <row r="476" spans="1:5" x14ac:dyDescent="0.3">
      <c r="A476" s="3">
        <v>45399</v>
      </c>
      <c r="B476">
        <v>90.05</v>
      </c>
      <c r="C476">
        <v>90.15</v>
      </c>
      <c r="D476">
        <v>87.14</v>
      </c>
      <c r="E476">
        <v>87.29</v>
      </c>
    </row>
    <row r="477" spans="1:5" x14ac:dyDescent="0.3">
      <c r="A477" s="3">
        <v>45400</v>
      </c>
      <c r="B477">
        <v>87.44</v>
      </c>
      <c r="C477">
        <v>87.79</v>
      </c>
      <c r="D477">
        <v>86.1</v>
      </c>
      <c r="E477">
        <v>87.11</v>
      </c>
    </row>
    <row r="478" spans="1:5" x14ac:dyDescent="0.3">
      <c r="A478" s="3">
        <v>45401</v>
      </c>
      <c r="B478">
        <v>86.96</v>
      </c>
      <c r="C478">
        <v>90.78</v>
      </c>
      <c r="D478">
        <v>86.16</v>
      </c>
      <c r="E478">
        <v>87.29</v>
      </c>
    </row>
    <row r="479" spans="1:5" x14ac:dyDescent="0.3">
      <c r="A479" s="3">
        <v>45404</v>
      </c>
      <c r="B479">
        <v>87.04</v>
      </c>
      <c r="C479">
        <v>87.25</v>
      </c>
      <c r="D479">
        <v>85.79</v>
      </c>
      <c r="E479">
        <v>87</v>
      </c>
    </row>
    <row r="480" spans="1:5" x14ac:dyDescent="0.3">
      <c r="A480" s="3">
        <v>45405</v>
      </c>
      <c r="B480">
        <v>87.23</v>
      </c>
      <c r="C480">
        <v>88.49</v>
      </c>
      <c r="D480">
        <v>86.04</v>
      </c>
      <c r="E480">
        <v>88.42</v>
      </c>
    </row>
    <row r="481" spans="1:5" x14ac:dyDescent="0.3">
      <c r="A481" s="3">
        <v>45406</v>
      </c>
      <c r="B481">
        <v>88.46</v>
      </c>
      <c r="C481">
        <v>88.8</v>
      </c>
      <c r="D481">
        <v>87.65</v>
      </c>
      <c r="E481">
        <v>88.02</v>
      </c>
    </row>
    <row r="482" spans="1:5" x14ac:dyDescent="0.3">
      <c r="A482" s="3">
        <v>45407</v>
      </c>
      <c r="B482">
        <v>88.11</v>
      </c>
      <c r="C482">
        <v>89.26</v>
      </c>
      <c r="D482">
        <v>87.29</v>
      </c>
      <c r="E482">
        <v>89.01</v>
      </c>
    </row>
    <row r="483" spans="1:5" x14ac:dyDescent="0.3">
      <c r="A483" s="3">
        <v>45408</v>
      </c>
      <c r="B483">
        <v>89.21</v>
      </c>
      <c r="C483">
        <v>89.83</v>
      </c>
      <c r="D483">
        <v>88.8</v>
      </c>
      <c r="E483">
        <v>89.5</v>
      </c>
    </row>
    <row r="484" spans="1:5" x14ac:dyDescent="0.3">
      <c r="A484" s="3">
        <v>45411</v>
      </c>
      <c r="B484">
        <v>89.25</v>
      </c>
      <c r="C484">
        <v>89.3</v>
      </c>
      <c r="D484">
        <v>88.1</v>
      </c>
      <c r="E484">
        <v>88.4</v>
      </c>
    </row>
    <row r="485" spans="1:5" x14ac:dyDescent="0.3">
      <c r="A485" s="3">
        <v>45412</v>
      </c>
      <c r="B485">
        <v>88.32</v>
      </c>
      <c r="C485">
        <v>88.71</v>
      </c>
      <c r="D485">
        <v>87.47</v>
      </c>
      <c r="E485">
        <v>87.86</v>
      </c>
    </row>
    <row r="486" spans="1:5" x14ac:dyDescent="0.3">
      <c r="A486" s="3">
        <v>45413</v>
      </c>
      <c r="B486">
        <v>85.96</v>
      </c>
      <c r="C486">
        <v>85.96</v>
      </c>
      <c r="D486">
        <v>83.29</v>
      </c>
      <c r="E486">
        <v>83.44</v>
      </c>
    </row>
    <row r="487" spans="1:5" x14ac:dyDescent="0.3">
      <c r="A487" s="3">
        <v>45414</v>
      </c>
      <c r="B487">
        <v>83.56</v>
      </c>
      <c r="C487">
        <v>84.42</v>
      </c>
      <c r="D487">
        <v>83.03</v>
      </c>
      <c r="E487">
        <v>83.67</v>
      </c>
    </row>
    <row r="488" spans="1:5" x14ac:dyDescent="0.3">
      <c r="A488" s="3">
        <v>45415</v>
      </c>
      <c r="B488">
        <v>83.8</v>
      </c>
      <c r="C488">
        <v>84.4</v>
      </c>
      <c r="D488">
        <v>82.8</v>
      </c>
      <c r="E488">
        <v>82.96</v>
      </c>
    </row>
    <row r="489" spans="1:5" x14ac:dyDescent="0.3">
      <c r="A489" s="3">
        <v>45418</v>
      </c>
      <c r="B489">
        <v>82.98</v>
      </c>
      <c r="C489">
        <v>83.82</v>
      </c>
      <c r="D489">
        <v>82.76</v>
      </c>
      <c r="E489">
        <v>83.33</v>
      </c>
    </row>
    <row r="490" spans="1:5" x14ac:dyDescent="0.3">
      <c r="A490" s="3">
        <v>45419</v>
      </c>
      <c r="B490">
        <v>83.59</v>
      </c>
      <c r="C490">
        <v>83.87</v>
      </c>
      <c r="D490">
        <v>82.4</v>
      </c>
      <c r="E490">
        <v>83.16</v>
      </c>
    </row>
    <row r="491" spans="1:5" x14ac:dyDescent="0.3">
      <c r="A491" s="3">
        <v>45420</v>
      </c>
      <c r="B491">
        <v>83.04</v>
      </c>
      <c r="C491">
        <v>83.82</v>
      </c>
      <c r="D491">
        <v>81.72</v>
      </c>
      <c r="E491">
        <v>83.58</v>
      </c>
    </row>
    <row r="492" spans="1:5" x14ac:dyDescent="0.3">
      <c r="A492" s="3">
        <v>45421</v>
      </c>
      <c r="B492">
        <v>83.78</v>
      </c>
      <c r="C492">
        <v>84.33</v>
      </c>
      <c r="D492">
        <v>83.46</v>
      </c>
      <c r="E492">
        <v>83.88</v>
      </c>
    </row>
    <row r="493" spans="1:5" x14ac:dyDescent="0.3">
      <c r="A493" s="3">
        <v>45422</v>
      </c>
      <c r="B493">
        <v>84.21</v>
      </c>
      <c r="C493">
        <v>84.52</v>
      </c>
      <c r="D493">
        <v>82.71</v>
      </c>
      <c r="E493">
        <v>82.79</v>
      </c>
    </row>
    <row r="494" spans="1:5" x14ac:dyDescent="0.3">
      <c r="A494" s="3">
        <v>45425</v>
      </c>
      <c r="B494">
        <v>82.7</v>
      </c>
      <c r="C494">
        <v>83.83</v>
      </c>
      <c r="D494">
        <v>82.26</v>
      </c>
      <c r="E494">
        <v>83.36</v>
      </c>
    </row>
    <row r="495" spans="1:5" x14ac:dyDescent="0.3">
      <c r="A495" s="3">
        <v>45426</v>
      </c>
      <c r="B495">
        <v>83.5</v>
      </c>
      <c r="C495">
        <v>83.62</v>
      </c>
      <c r="D495">
        <v>82.1</v>
      </c>
      <c r="E495">
        <v>82.38</v>
      </c>
    </row>
    <row r="496" spans="1:5" x14ac:dyDescent="0.3">
      <c r="A496" s="3">
        <v>45427</v>
      </c>
      <c r="B496">
        <v>82.77</v>
      </c>
      <c r="C496">
        <v>83.07</v>
      </c>
      <c r="D496">
        <v>81.06</v>
      </c>
      <c r="E496">
        <v>82.75</v>
      </c>
    </row>
    <row r="497" spans="1:5" x14ac:dyDescent="0.3">
      <c r="A497" s="3">
        <v>45428</v>
      </c>
      <c r="B497">
        <v>82.93</v>
      </c>
      <c r="C497">
        <v>83.78</v>
      </c>
      <c r="D497">
        <v>82.31</v>
      </c>
      <c r="E497">
        <v>83.27</v>
      </c>
    </row>
    <row r="498" spans="1:5" x14ac:dyDescent="0.3">
      <c r="A498" s="3">
        <v>45429</v>
      </c>
      <c r="B498">
        <v>83.44</v>
      </c>
      <c r="C498">
        <v>84.04</v>
      </c>
      <c r="D498">
        <v>83.09</v>
      </c>
      <c r="E498">
        <v>83.98</v>
      </c>
    </row>
    <row r="499" spans="1:5" x14ac:dyDescent="0.3">
      <c r="A499" s="3">
        <v>45432</v>
      </c>
      <c r="B499">
        <v>84</v>
      </c>
      <c r="C499">
        <v>84.5</v>
      </c>
      <c r="D499">
        <v>83.12</v>
      </c>
      <c r="E499">
        <v>83.71</v>
      </c>
    </row>
    <row r="500" spans="1:5" x14ac:dyDescent="0.3">
      <c r="A500" s="3">
        <v>45433</v>
      </c>
      <c r="B500">
        <v>83.7</v>
      </c>
      <c r="C500">
        <v>83.74</v>
      </c>
      <c r="D500">
        <v>82.06</v>
      </c>
      <c r="E500">
        <v>82.88</v>
      </c>
    </row>
    <row r="501" spans="1:5" x14ac:dyDescent="0.3">
      <c r="A501" s="3">
        <v>45434</v>
      </c>
      <c r="B501">
        <v>82.48</v>
      </c>
      <c r="C501">
        <v>82.64</v>
      </c>
      <c r="D501">
        <v>81.58</v>
      </c>
      <c r="E501">
        <v>81.900000000000006</v>
      </c>
    </row>
    <row r="502" spans="1:5" x14ac:dyDescent="0.3">
      <c r="A502" s="3">
        <v>45435</v>
      </c>
      <c r="B502">
        <v>81.69</v>
      </c>
      <c r="C502">
        <v>82.97</v>
      </c>
      <c r="D502">
        <v>80.930000000000007</v>
      </c>
      <c r="E502">
        <v>81.36</v>
      </c>
    </row>
    <row r="503" spans="1:5" x14ac:dyDescent="0.3">
      <c r="A503" s="3">
        <v>45436</v>
      </c>
      <c r="B503">
        <v>81.540000000000006</v>
      </c>
      <c r="C503">
        <v>82.45</v>
      </c>
      <c r="D503">
        <v>80.66</v>
      </c>
      <c r="E503">
        <v>82.12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E645-E585-4C7B-A089-B97EA85723A4}">
  <dimension ref="A1:AJ503"/>
  <sheetViews>
    <sheetView topLeftCell="B1" workbookViewId="0">
      <selection activeCell="R16" sqref="R16"/>
    </sheetView>
  </sheetViews>
  <sheetFormatPr baseColWidth="10" defaultRowHeight="14.4" x14ac:dyDescent="0.3"/>
  <cols>
    <col min="1" max="1" width="4" bestFit="1" customWidth="1"/>
    <col min="7" max="7" width="11.5546875" customWidth="1"/>
    <col min="8" max="8" width="14" customWidth="1"/>
    <col min="9" max="9" width="15.44140625" bestFit="1" customWidth="1"/>
    <col min="11" max="11" width="10.5546875" bestFit="1" customWidth="1"/>
    <col min="12" max="14" width="10.5546875" customWidth="1"/>
    <col min="15" max="15" width="23.77734375" bestFit="1" customWidth="1"/>
    <col min="16" max="16" width="25.77734375" bestFit="1" customWidth="1"/>
    <col min="19" max="19" width="15.21875" customWidth="1"/>
    <col min="21" max="21" width="12.6640625" bestFit="1" customWidth="1"/>
    <col min="25" max="25" width="13.77734375" bestFit="1" customWidth="1"/>
    <col min="31" max="31" width="6" customWidth="1"/>
    <col min="32" max="33" width="9.44140625" customWidth="1"/>
    <col min="34" max="34" width="10.6640625" customWidth="1"/>
    <col min="35" max="35" width="11" customWidth="1"/>
    <col min="36" max="36" width="12.77734375" customWidth="1"/>
  </cols>
  <sheetData>
    <row r="1" spans="1:36" ht="49.8" customHeight="1" x14ac:dyDescent="0.3">
      <c r="A1" s="6" t="s">
        <v>25</v>
      </c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8" t="s">
        <v>26</v>
      </c>
      <c r="H1" s="8" t="s">
        <v>20</v>
      </c>
      <c r="I1" s="8" t="s">
        <v>27</v>
      </c>
      <c r="J1" s="8" t="s">
        <v>19</v>
      </c>
      <c r="K1" s="8" t="s">
        <v>22</v>
      </c>
      <c r="L1" s="8" t="s">
        <v>31</v>
      </c>
      <c r="M1" s="8" t="s">
        <v>32</v>
      </c>
      <c r="N1" s="8" t="s">
        <v>33</v>
      </c>
      <c r="O1" s="16" t="s">
        <v>28</v>
      </c>
      <c r="P1" s="11" t="s">
        <v>24</v>
      </c>
      <c r="R1" s="17" t="s">
        <v>10</v>
      </c>
      <c r="S1" s="17" t="s">
        <v>16</v>
      </c>
      <c r="T1" s="17" t="s">
        <v>5</v>
      </c>
      <c r="U1" s="17" t="s">
        <v>6</v>
      </c>
      <c r="V1" s="17" t="s">
        <v>7</v>
      </c>
      <c r="W1" s="17" t="s">
        <v>18</v>
      </c>
      <c r="X1" s="17" t="s">
        <v>21</v>
      </c>
      <c r="AA1" s="21" t="s">
        <v>30</v>
      </c>
      <c r="AB1" s="21" t="s">
        <v>23</v>
      </c>
      <c r="AC1" s="21" t="s">
        <v>8</v>
      </c>
      <c r="AD1" s="21" t="s">
        <v>9</v>
      </c>
      <c r="AE1" s="17" t="s">
        <v>29</v>
      </c>
      <c r="AF1" s="17" t="s">
        <v>17</v>
      </c>
      <c r="AG1" s="24" t="s">
        <v>12</v>
      </c>
      <c r="AH1" s="24" t="s">
        <v>13</v>
      </c>
      <c r="AI1" s="25" t="s">
        <v>14</v>
      </c>
      <c r="AJ1" s="25" t="s">
        <v>15</v>
      </c>
    </row>
    <row r="2" spans="1:36" x14ac:dyDescent="0.3">
      <c r="A2">
        <v>0</v>
      </c>
      <c r="B2" s="3" cm="1">
        <f t="array" ref="B2:F503">BrentCrudeOilPrice[]</f>
        <v>44707</v>
      </c>
      <c r="C2">
        <v>114.45</v>
      </c>
      <c r="D2">
        <v>118</v>
      </c>
      <c r="E2">
        <v>113.84</v>
      </c>
      <c r="F2">
        <v>117.4</v>
      </c>
      <c r="G2" s="5">
        <f>IFERROR(LOG10(F2/F1),0)</f>
        <v>0</v>
      </c>
      <c r="H2" s="5">
        <v>0</v>
      </c>
      <c r="I2">
        <f t="shared" ref="I2:I65" si="0">F$2*EXP((Mu-(0.5*(sigma^2))*A2)+sigma*H2)</f>
        <v>117.36856164504707</v>
      </c>
      <c r="J2" s="13">
        <f>IFERROR(LN(I2/I1),0)</f>
        <v>0</v>
      </c>
      <c r="K2" s="12">
        <f t="shared" ref="K2:K65" si="1">($I$2*EXP(Mu*A2))</f>
        <v>117.36856164504707</v>
      </c>
      <c r="L2" s="12">
        <f t="shared" ref="L2:L65" si="2">SQRT(EXP((sigma^2)*A2)-1)</f>
        <v>0</v>
      </c>
      <c r="M2" s="12">
        <f>(1-1.96*L2)*K2</f>
        <v>117.36856164504707</v>
      </c>
      <c r="N2" s="12">
        <f>(1+1.96*L2)*K2</f>
        <v>117.36856164504707</v>
      </c>
      <c r="O2" s="14">
        <f>ABS((LOG10(F2)-LOG10(K2))/LOG10(F2))</f>
        <v>5.6199632825044227E-5</v>
      </c>
      <c r="P2" s="15">
        <f t="shared" ref="P2:P65" si="3">(LOG10(F2)-LOG10(K2))^2</f>
        <v>1.3529083175998059E-8</v>
      </c>
      <c r="R2" s="18">
        <f>COUNTA(B2:B503)</f>
        <v>502</v>
      </c>
      <c r="S2" s="19">
        <f>(1/R2)*SUM(G2:G503)</f>
        <v>-3.0920150640048041E-4</v>
      </c>
      <c r="T2" s="26">
        <v>1</v>
      </c>
      <c r="U2" s="20">
        <f>(1/DeltaT)*(U+((sigma^2)/2))</f>
        <v>-2.6782423439125559E-4</v>
      </c>
      <c r="V2" s="20">
        <f>_xlfn.STDEV.P(G2:G503)/SQRT(DeltaT)</f>
        <v>9.096952457743725E-3</v>
      </c>
      <c r="W2" s="20">
        <f>SQRT((1/n)*SUM(P2:P503))</f>
        <v>0.11168676328545263</v>
      </c>
      <c r="X2" s="20">
        <f>(100/n)*SUM(O2:O503)</f>
        <v>5.449754877819359</v>
      </c>
      <c r="AA2">
        <v>10</v>
      </c>
      <c r="AB2" s="22">
        <f>(AD2-AC2)/AA2</f>
        <v>6.8523427908574134E-3</v>
      </c>
      <c r="AC2" s="23">
        <f>MIN(G2:G503)</f>
        <v>-4.1301895875038123E-2</v>
      </c>
      <c r="AD2" s="23">
        <f>MAX(G2:G503)</f>
        <v>2.7221532033536007E-2</v>
      </c>
      <c r="AE2">
        <v>0</v>
      </c>
      <c r="AF2" s="5">
        <f>AC2</f>
        <v>-4.1301895875038123E-2</v>
      </c>
      <c r="AG2">
        <f t="array" ref="AG2:AG52">FREQUENCY(G2:G503,AF2:AF52)</f>
        <v>1</v>
      </c>
      <c r="AH2" s="9">
        <f t="shared" ref="AH2:AH22" si="4">AG2/$AG$53</f>
        <v>1.9920318725099601E-3</v>
      </c>
      <c r="AI2">
        <f t="array" aca="1" ref="AI2:AI52" ca="1">FREQUENCY(J2:J503,AF2:AF52)</f>
        <v>0</v>
      </c>
      <c r="AJ2" s="9">
        <f t="shared" ref="AJ2:AJ22" ca="1" si="5">AI2/$AI$53</f>
        <v>0</v>
      </c>
    </row>
    <row r="3" spans="1:36" x14ac:dyDescent="0.3">
      <c r="A3">
        <v>1</v>
      </c>
      <c r="B3" s="3">
        <v>44708</v>
      </c>
      <c r="C3">
        <v>117.54</v>
      </c>
      <c r="D3">
        <v>119.73</v>
      </c>
      <c r="E3">
        <v>116.68</v>
      </c>
      <c r="F3">
        <v>119.43</v>
      </c>
      <c r="G3" s="5">
        <f t="shared" ref="G3:G66" si="6">IFERROR(LOG10(F3/F2),0)</f>
        <v>7.4453353921647425E-3</v>
      </c>
      <c r="H3" s="5">
        <f t="shared" ref="H3:H66" ca="1" si="7">H2+(SQRT(DeltaT)*_xlfn.NORM.S.INV(RAND()))</f>
        <v>0.7733469727560276</v>
      </c>
      <c r="I3">
        <f t="shared" ca="1" si="0"/>
        <v>118.19228197639396</v>
      </c>
      <c r="J3">
        <f t="shared" ref="J3:J66" ca="1" si="8">IFERROR(LN(I3/I2),0)</f>
        <v>6.9937233724924322E-3</v>
      </c>
      <c r="K3" s="12">
        <f t="shared" si="1"/>
        <v>117.33713170892004</v>
      </c>
      <c r="L3" s="12">
        <f t="shared" si="2"/>
        <v>9.0971406645322436E-3</v>
      </c>
      <c r="M3" s="12">
        <f t="shared" ref="M3:M66" si="9">(1-1.96*L3)*K3</f>
        <v>115.24496421995561</v>
      </c>
      <c r="N3" s="12">
        <f t="shared" ref="N3:N66" si="10">(1+1.96*L3)*K3</f>
        <v>119.42929919788448</v>
      </c>
      <c r="O3" s="14">
        <f t="shared" ref="O3:O66" si="11">ABS((LOG10(F3)-LOG10(K3))/LOG10(F3))</f>
        <v>3.6964589641507333E-3</v>
      </c>
      <c r="P3" s="15">
        <f t="shared" si="3"/>
        <v>5.8951139882849917E-5</v>
      </c>
      <c r="AE3">
        <v>1</v>
      </c>
      <c r="AF3">
        <f t="shared" ref="AF3:AF34" si="12">AF2+$AB$2</f>
        <v>-3.4449553084180712E-2</v>
      </c>
      <c r="AG3">
        <v>1</v>
      </c>
      <c r="AH3" s="9">
        <f t="shared" si="4"/>
        <v>1.9920318725099601E-3</v>
      </c>
      <c r="AI3">
        <f ca="1"/>
        <v>0</v>
      </c>
      <c r="AJ3" s="9">
        <f t="shared" ca="1" si="5"/>
        <v>0</v>
      </c>
    </row>
    <row r="4" spans="1:36" x14ac:dyDescent="0.3">
      <c r="A4">
        <v>2</v>
      </c>
      <c r="B4" s="3">
        <v>44712</v>
      </c>
      <c r="C4">
        <v>119.47</v>
      </c>
      <c r="D4">
        <v>124.13</v>
      </c>
      <c r="E4">
        <v>119.36</v>
      </c>
      <c r="F4">
        <v>122.84</v>
      </c>
      <c r="G4" s="5">
        <f t="shared" si="6"/>
        <v>1.2226375467270937E-2</v>
      </c>
      <c r="H4" s="5">
        <f t="shared" ca="1" si="7"/>
        <v>2.1359937139756662</v>
      </c>
      <c r="I4">
        <f t="shared" ca="1" si="0"/>
        <v>119.66155246931127</v>
      </c>
      <c r="J4">
        <f t="shared" ca="1" si="8"/>
        <v>1.2354555349565094E-2</v>
      </c>
      <c r="K4" s="12">
        <f t="shared" si="1"/>
        <v>117.30571018936446</v>
      </c>
      <c r="L4" s="12">
        <f t="shared" si="2"/>
        <v>1.2865565880348604E-2</v>
      </c>
      <c r="M4" s="12">
        <f t="shared" si="9"/>
        <v>114.34766967790306</v>
      </c>
      <c r="N4" s="12">
        <f t="shared" si="10"/>
        <v>120.26375070082587</v>
      </c>
      <c r="O4" s="14">
        <f t="shared" si="11"/>
        <v>9.5822874509544579E-3</v>
      </c>
      <c r="P4" s="15">
        <f t="shared" si="3"/>
        <v>4.0082661144471779E-4</v>
      </c>
      <c r="AE4">
        <v>2</v>
      </c>
      <c r="AF4">
        <f t="shared" si="12"/>
        <v>-2.75972102933233E-2</v>
      </c>
      <c r="AG4">
        <v>1</v>
      </c>
      <c r="AH4" s="9">
        <f t="shared" si="4"/>
        <v>1.9920318725099601E-3</v>
      </c>
      <c r="AI4">
        <f ca="1"/>
        <v>0</v>
      </c>
      <c r="AJ4" s="9">
        <f t="shared" ca="1" si="5"/>
        <v>0</v>
      </c>
    </row>
    <row r="5" spans="1:36" x14ac:dyDescent="0.3">
      <c r="A5">
        <v>3</v>
      </c>
      <c r="B5" s="3">
        <v>44713</v>
      </c>
      <c r="C5">
        <v>116.63</v>
      </c>
      <c r="D5">
        <v>118.58</v>
      </c>
      <c r="E5">
        <v>115.43</v>
      </c>
      <c r="F5">
        <v>116.29</v>
      </c>
      <c r="G5" s="5">
        <f>IFERROR(LOG10(F5/F4),0)</f>
        <v>-2.3797437251892862E-2</v>
      </c>
      <c r="H5" s="5">
        <f t="shared" ca="1" si="7"/>
        <v>2.764287877428016</v>
      </c>
      <c r="I5">
        <f t="shared" ca="1" si="0"/>
        <v>120.34246422161559</v>
      </c>
      <c r="J5">
        <f t="shared" ca="1" si="8"/>
        <v>5.6741848623946267E-3</v>
      </c>
      <c r="K5" s="12">
        <f t="shared" si="1"/>
        <v>117.27429708412649</v>
      </c>
      <c r="L5" s="12">
        <f t="shared" si="2"/>
        <v>1.5757361835701939E-2</v>
      </c>
      <c r="M5" s="12">
        <f t="shared" si="9"/>
        <v>113.6523473590894</v>
      </c>
      <c r="N5" s="12">
        <f t="shared" si="10"/>
        <v>120.89624680916357</v>
      </c>
      <c r="O5" s="14">
        <f t="shared" si="11"/>
        <v>1.7721582942272648E-3</v>
      </c>
      <c r="P5" s="15">
        <f t="shared" si="3"/>
        <v>1.3399026301096405E-5</v>
      </c>
      <c r="AE5">
        <v>3</v>
      </c>
      <c r="AF5">
        <f t="shared" si="12"/>
        <v>-2.0744867502465889E-2</v>
      </c>
      <c r="AG5">
        <v>12</v>
      </c>
      <c r="AH5" s="9">
        <f t="shared" si="4"/>
        <v>2.3904382470119521E-2</v>
      </c>
      <c r="AI5">
        <f ca="1"/>
        <v>4</v>
      </c>
      <c r="AJ5" s="9">
        <f t="shared" ca="1" si="5"/>
        <v>7.9681274900398405E-3</v>
      </c>
    </row>
    <row r="6" spans="1:36" x14ac:dyDescent="0.3">
      <c r="A6">
        <v>4</v>
      </c>
      <c r="B6" s="3">
        <v>44714</v>
      </c>
      <c r="C6">
        <v>115.82</v>
      </c>
      <c r="D6">
        <v>118.44</v>
      </c>
      <c r="E6">
        <v>112.48</v>
      </c>
      <c r="F6">
        <v>117.61</v>
      </c>
      <c r="G6" s="5">
        <f t="shared" si="6"/>
        <v>4.9018794538084939E-3</v>
      </c>
      <c r="H6" s="5">
        <f t="shared" ca="1" si="7"/>
        <v>2.5000034027598219</v>
      </c>
      <c r="I6">
        <f t="shared" ca="1" si="0"/>
        <v>120.04851901271941</v>
      </c>
      <c r="J6">
        <f t="shared" ca="1" si="8"/>
        <v>-2.4455605733855281E-3</v>
      </c>
      <c r="K6" s="12">
        <f t="shared" si="1"/>
        <v>117.24289239095282</v>
      </c>
      <c r="L6" s="12">
        <f t="shared" si="2"/>
        <v>1.8195410647629844E-2</v>
      </c>
      <c r="M6" s="12">
        <f t="shared" si="9"/>
        <v>113.06165854871706</v>
      </c>
      <c r="N6" s="12">
        <f t="shared" si="10"/>
        <v>121.42412623318857</v>
      </c>
      <c r="O6" s="14">
        <f t="shared" si="11"/>
        <v>6.5576554256375368E-4</v>
      </c>
      <c r="P6" s="15">
        <f t="shared" si="3"/>
        <v>1.8434198827436726E-6</v>
      </c>
      <c r="AE6">
        <v>4</v>
      </c>
      <c r="AF6">
        <f t="shared" si="12"/>
        <v>-1.3892524711608475E-2</v>
      </c>
      <c r="AG6">
        <v>23</v>
      </c>
      <c r="AH6" s="9">
        <f t="shared" si="4"/>
        <v>4.5816733067729085E-2</v>
      </c>
      <c r="AI6">
        <f ca="1"/>
        <v>36</v>
      </c>
      <c r="AJ6" s="9">
        <f t="shared" ca="1" si="5"/>
        <v>7.1713147410358571E-2</v>
      </c>
    </row>
    <row r="7" spans="1:36" x14ac:dyDescent="0.3">
      <c r="A7">
        <v>5</v>
      </c>
      <c r="B7" s="3">
        <v>44715</v>
      </c>
      <c r="C7">
        <v>118.26</v>
      </c>
      <c r="D7">
        <v>121.44</v>
      </c>
      <c r="E7">
        <v>116.08</v>
      </c>
      <c r="F7">
        <v>119.72</v>
      </c>
      <c r="G7" s="5">
        <f t="shared" si="6"/>
        <v>7.7224581952068808E-3</v>
      </c>
      <c r="H7" s="5">
        <f t="shared" ca="1" si="7"/>
        <v>1.9876453080910643</v>
      </c>
      <c r="I7">
        <f t="shared" ca="1" si="0"/>
        <v>119.48534306460338</v>
      </c>
      <c r="J7">
        <f t="shared" ca="1" si="8"/>
        <v>-4.7022745005510175E-3</v>
      </c>
      <c r="K7" s="12">
        <f t="shared" si="1"/>
        <v>117.21149610759085</v>
      </c>
      <c r="L7" s="12">
        <f t="shared" si="2"/>
        <v>2.0343508444518231E-2</v>
      </c>
      <c r="M7" s="12">
        <f t="shared" si="9"/>
        <v>112.53788970830644</v>
      </c>
      <c r="N7" s="12">
        <f t="shared" si="10"/>
        <v>121.88510250687526</v>
      </c>
      <c r="O7" s="14">
        <f t="shared" si="11"/>
        <v>4.425294055143923E-3</v>
      </c>
      <c r="P7" s="15">
        <f t="shared" si="3"/>
        <v>8.4575589796830376E-5</v>
      </c>
      <c r="AE7">
        <v>5</v>
      </c>
      <c r="AF7">
        <f t="shared" si="12"/>
        <v>-7.0401819207510617E-3</v>
      </c>
      <c r="AG7">
        <v>57</v>
      </c>
      <c r="AH7" s="9">
        <f t="shared" si="4"/>
        <v>0.11354581673306773</v>
      </c>
      <c r="AI7">
        <f ca="1"/>
        <v>94</v>
      </c>
      <c r="AJ7" s="9">
        <f t="shared" ca="1" si="5"/>
        <v>0.18725099601593626</v>
      </c>
    </row>
    <row r="8" spans="1:36" x14ac:dyDescent="0.3">
      <c r="A8">
        <v>6</v>
      </c>
      <c r="B8" s="3">
        <v>44718</v>
      </c>
      <c r="C8">
        <v>121.35</v>
      </c>
      <c r="D8">
        <v>121.89</v>
      </c>
      <c r="E8">
        <v>118.76</v>
      </c>
      <c r="F8">
        <v>119.51</v>
      </c>
      <c r="G8" s="5">
        <f t="shared" si="6"/>
        <v>-7.6246177005588926E-4</v>
      </c>
      <c r="H8" s="5">
        <f t="shared" ca="1" si="7"/>
        <v>2.6029915778258217</v>
      </c>
      <c r="I8">
        <f t="shared" ca="1" si="0"/>
        <v>120.15109913439915</v>
      </c>
      <c r="J8">
        <f t="shared" ca="1" si="8"/>
        <v>5.5563984888177482E-3</v>
      </c>
      <c r="K8" s="12">
        <f t="shared" si="1"/>
        <v>117.18010823178851</v>
      </c>
      <c r="L8" s="12">
        <f t="shared" si="2"/>
        <v>2.2285658037793477E-2</v>
      </c>
      <c r="M8" s="12">
        <f t="shared" si="9"/>
        <v>112.06169402285339</v>
      </c>
      <c r="N8" s="12">
        <f t="shared" si="10"/>
        <v>122.29852244072362</v>
      </c>
      <c r="O8" s="14">
        <f t="shared" si="11"/>
        <v>4.1158824100508088E-3</v>
      </c>
      <c r="P8" s="15">
        <f t="shared" si="3"/>
        <v>7.3108512420602822E-5</v>
      </c>
      <c r="AE8">
        <v>6</v>
      </c>
      <c r="AF8">
        <f t="shared" si="12"/>
        <v>-1.8783912989364833E-4</v>
      </c>
      <c r="AG8">
        <v>144</v>
      </c>
      <c r="AH8" s="9">
        <f t="shared" si="4"/>
        <v>0.28685258964143429</v>
      </c>
      <c r="AI8">
        <f ca="1"/>
        <v>126</v>
      </c>
      <c r="AJ8" s="9">
        <f t="shared" ca="1" si="5"/>
        <v>0.25099601593625498</v>
      </c>
    </row>
    <row r="9" spans="1:36" x14ac:dyDescent="0.3">
      <c r="A9">
        <v>7</v>
      </c>
      <c r="B9" s="3">
        <v>44719</v>
      </c>
      <c r="C9">
        <v>120.08</v>
      </c>
      <c r="D9">
        <v>121.38</v>
      </c>
      <c r="E9">
        <v>118.56</v>
      </c>
      <c r="F9">
        <v>120.57</v>
      </c>
      <c r="G9" s="5">
        <f t="shared" si="6"/>
        <v>3.8350145135993292E-3</v>
      </c>
      <c r="H9" s="5">
        <f t="shared" ca="1" si="7"/>
        <v>1.928909850764323</v>
      </c>
      <c r="I9">
        <f t="shared" ca="1" si="0"/>
        <v>119.41163520193541</v>
      </c>
      <c r="J9">
        <f t="shared" ca="1" si="8"/>
        <v>-6.17346669572143E-3</v>
      </c>
      <c r="K9" s="12">
        <f t="shared" si="1"/>
        <v>117.14872876129434</v>
      </c>
      <c r="L9" s="12">
        <f t="shared" si="2"/>
        <v>2.4071759890759811E-2</v>
      </c>
      <c r="M9" s="12">
        <f t="shared" si="9"/>
        <v>111.62157566360507</v>
      </c>
      <c r="N9" s="12">
        <f t="shared" si="10"/>
        <v>122.6758818589836</v>
      </c>
      <c r="O9" s="14">
        <f t="shared" si="11"/>
        <v>6.0068445429737605E-3</v>
      </c>
      <c r="P9" s="15">
        <f t="shared" si="3"/>
        <v>1.5629202025049677E-4</v>
      </c>
      <c r="AE9">
        <v>7</v>
      </c>
      <c r="AF9">
        <f t="shared" si="12"/>
        <v>6.6645036609637651E-3</v>
      </c>
      <c r="AG9">
        <v>156</v>
      </c>
      <c r="AH9" s="9">
        <f t="shared" si="4"/>
        <v>0.31075697211155379</v>
      </c>
      <c r="AI9">
        <f ca="1"/>
        <v>136</v>
      </c>
      <c r="AJ9" s="9">
        <f t="shared" ca="1" si="5"/>
        <v>0.27091633466135456</v>
      </c>
    </row>
    <row r="10" spans="1:36" x14ac:dyDescent="0.3">
      <c r="A10">
        <v>8</v>
      </c>
      <c r="B10" s="3">
        <v>44720</v>
      </c>
      <c r="C10">
        <v>121.03</v>
      </c>
      <c r="D10">
        <v>124.41</v>
      </c>
      <c r="E10">
        <v>120.46</v>
      </c>
      <c r="F10">
        <v>123.58</v>
      </c>
      <c r="G10" s="5">
        <f t="shared" si="6"/>
        <v>1.0708929966862219E-2</v>
      </c>
      <c r="H10" s="5">
        <f t="shared" ca="1" si="7"/>
        <v>3.1624892912703304</v>
      </c>
      <c r="I10">
        <f t="shared" ca="1" si="0"/>
        <v>120.75420062524884</v>
      </c>
      <c r="J10">
        <f t="shared" ca="1" si="8"/>
        <v>1.1180436251124025E-2</v>
      </c>
      <c r="K10" s="12">
        <f t="shared" si="1"/>
        <v>117.11735769385751</v>
      </c>
      <c r="L10" s="12">
        <f t="shared" si="2"/>
        <v>2.5734326231364207E-2</v>
      </c>
      <c r="M10" s="12">
        <f t="shared" si="9"/>
        <v>111.21004256496927</v>
      </c>
      <c r="N10" s="12">
        <f t="shared" si="10"/>
        <v>123.02467282274576</v>
      </c>
      <c r="O10" s="14">
        <f t="shared" si="11"/>
        <v>1.1150814036752986E-2</v>
      </c>
      <c r="P10" s="15">
        <f t="shared" si="3"/>
        <v>5.4414544166614528E-4</v>
      </c>
      <c r="AE10">
        <v>8</v>
      </c>
      <c r="AF10">
        <f t="shared" si="12"/>
        <v>1.3516846451821178E-2</v>
      </c>
      <c r="AG10">
        <v>84</v>
      </c>
      <c r="AH10" s="9">
        <f t="shared" si="4"/>
        <v>0.16733067729083664</v>
      </c>
      <c r="AI10">
        <f ca="1"/>
        <v>76</v>
      </c>
      <c r="AJ10" s="9">
        <f t="shared" ca="1" si="5"/>
        <v>0.15139442231075698</v>
      </c>
    </row>
    <row r="11" spans="1:36" x14ac:dyDescent="0.3">
      <c r="A11">
        <v>9</v>
      </c>
      <c r="B11" s="3">
        <v>44721</v>
      </c>
      <c r="C11">
        <v>123.89</v>
      </c>
      <c r="D11">
        <v>124.33</v>
      </c>
      <c r="E11">
        <v>122.5</v>
      </c>
      <c r="F11">
        <v>123.07</v>
      </c>
      <c r="G11" s="5">
        <f t="shared" si="6"/>
        <v>-1.7959902811717321E-3</v>
      </c>
      <c r="H11" s="5">
        <f t="shared" ca="1" si="7"/>
        <v>2.3236599760327743</v>
      </c>
      <c r="I11">
        <f t="shared" ca="1" si="0"/>
        <v>119.83129900582529</v>
      </c>
      <c r="J11">
        <f t="shared" ca="1" si="8"/>
        <v>-7.6721676728868909E-3</v>
      </c>
      <c r="K11" s="12">
        <f t="shared" si="1"/>
        <v>117.08599502722778</v>
      </c>
      <c r="L11" s="12">
        <f t="shared" si="2"/>
        <v>2.7295939657319183E-2</v>
      </c>
      <c r="M11" s="12">
        <f t="shared" si="9"/>
        <v>110.82188940746623</v>
      </c>
      <c r="N11" s="12">
        <f t="shared" si="10"/>
        <v>123.35010064698933</v>
      </c>
      <c r="O11" s="14">
        <f t="shared" si="11"/>
        <v>1.0356781458673707E-2</v>
      </c>
      <c r="P11" s="15">
        <f t="shared" si="3"/>
        <v>4.6860341338100504E-4</v>
      </c>
      <c r="AE11">
        <v>9</v>
      </c>
      <c r="AF11">
        <f t="shared" si="12"/>
        <v>2.0369189242678592E-2</v>
      </c>
      <c r="AG11">
        <v>20</v>
      </c>
      <c r="AH11" s="9">
        <f t="shared" si="4"/>
        <v>3.9840637450199202E-2</v>
      </c>
      <c r="AI11">
        <f ca="1"/>
        <v>26</v>
      </c>
      <c r="AJ11" s="9">
        <f t="shared" ca="1" si="5"/>
        <v>5.1792828685258967E-2</v>
      </c>
    </row>
    <row r="12" spans="1:36" x14ac:dyDescent="0.3">
      <c r="A12">
        <v>10</v>
      </c>
      <c r="B12" s="3">
        <v>44722</v>
      </c>
      <c r="C12">
        <v>122.94</v>
      </c>
      <c r="D12">
        <v>124.33</v>
      </c>
      <c r="E12">
        <v>119.87</v>
      </c>
      <c r="F12">
        <v>122.01</v>
      </c>
      <c r="G12" s="5">
        <f t="shared" si="6"/>
        <v>-3.7567734731377119E-3</v>
      </c>
      <c r="H12" s="5">
        <f t="shared" ca="1" si="7"/>
        <v>1.7681922445774159</v>
      </c>
      <c r="I12">
        <f t="shared" ca="1" si="0"/>
        <v>119.22237791821311</v>
      </c>
      <c r="J12">
        <f t="shared" ca="1" si="8"/>
        <v>-5.0944408168695941E-3</v>
      </c>
      <c r="K12" s="12">
        <f t="shared" si="1"/>
        <v>117.05464075915552</v>
      </c>
      <c r="L12" s="12">
        <f t="shared" si="2"/>
        <v>2.8773042077380094E-2</v>
      </c>
      <c r="M12" s="12">
        <f t="shared" si="9"/>
        <v>110.45332527548057</v>
      </c>
      <c r="N12" s="12">
        <f t="shared" si="10"/>
        <v>123.65595624283047</v>
      </c>
      <c r="O12" s="14">
        <f t="shared" si="11"/>
        <v>8.6305742606764407E-3</v>
      </c>
      <c r="P12" s="15">
        <f t="shared" si="3"/>
        <v>3.2424451026674868E-4</v>
      </c>
      <c r="AE12">
        <v>10</v>
      </c>
      <c r="AF12">
        <f t="shared" si="12"/>
        <v>2.7221532033536007E-2</v>
      </c>
      <c r="AG12">
        <v>3</v>
      </c>
      <c r="AH12" s="9">
        <f t="shared" si="4"/>
        <v>5.9760956175298804E-3</v>
      </c>
      <c r="AI12">
        <f ca="1"/>
        <v>2</v>
      </c>
      <c r="AJ12" s="9">
        <f t="shared" ca="1" si="5"/>
        <v>3.9840637450199202E-3</v>
      </c>
    </row>
    <row r="13" spans="1:36" x14ac:dyDescent="0.3">
      <c r="A13">
        <v>11</v>
      </c>
      <c r="B13" s="3">
        <v>44725</v>
      </c>
      <c r="C13">
        <v>121.69</v>
      </c>
      <c r="D13">
        <v>123.61</v>
      </c>
      <c r="E13">
        <v>118.95</v>
      </c>
      <c r="F13">
        <v>122.27</v>
      </c>
      <c r="G13" s="5">
        <f t="shared" si="6"/>
        <v>9.2448508215080207E-4</v>
      </c>
      <c r="H13" s="5">
        <f t="shared" ca="1" si="7"/>
        <v>8.639641227336381E-2</v>
      </c>
      <c r="I13">
        <f t="shared" ca="1" si="0"/>
        <v>117.40739289062536</v>
      </c>
      <c r="J13">
        <f t="shared" ca="1" si="8"/>
        <v>-1.534059400211067E-2</v>
      </c>
      <c r="K13" s="12">
        <f t="shared" si="1"/>
        <v>117.02329488739167</v>
      </c>
      <c r="L13" s="12">
        <f t="shared" si="2"/>
        <v>3.0178045546085813E-2</v>
      </c>
      <c r="M13" s="12">
        <f t="shared" si="9"/>
        <v>110.10148761418479</v>
      </c>
      <c r="N13" s="12">
        <f t="shared" si="10"/>
        <v>123.94510216059855</v>
      </c>
      <c r="O13" s="14">
        <f t="shared" si="11"/>
        <v>9.1253814179659155E-3</v>
      </c>
      <c r="P13" s="15">
        <f t="shared" si="3"/>
        <v>3.6281069776802471E-4</v>
      </c>
      <c r="AE13">
        <v>11</v>
      </c>
      <c r="AF13">
        <f t="shared" si="12"/>
        <v>3.4073874824393419E-2</v>
      </c>
      <c r="AG13">
        <v>0</v>
      </c>
      <c r="AH13" s="9">
        <f t="shared" si="4"/>
        <v>0</v>
      </c>
      <c r="AI13">
        <f ca="1"/>
        <v>2</v>
      </c>
      <c r="AJ13" s="9">
        <f t="shared" ca="1" si="5"/>
        <v>3.9840637450199202E-3</v>
      </c>
    </row>
    <row r="14" spans="1:36" x14ac:dyDescent="0.3">
      <c r="A14">
        <v>12</v>
      </c>
      <c r="B14" s="3">
        <v>44726</v>
      </c>
      <c r="C14">
        <v>122.5</v>
      </c>
      <c r="D14">
        <v>125.18</v>
      </c>
      <c r="E14">
        <v>118.94</v>
      </c>
      <c r="F14">
        <v>121.17</v>
      </c>
      <c r="G14" s="5">
        <f t="shared" si="6"/>
        <v>-3.9248043167501205E-3</v>
      </c>
      <c r="H14" s="5">
        <f t="shared" ca="1" si="7"/>
        <v>-0.46512068910604665</v>
      </c>
      <c r="I14">
        <f t="shared" ca="1" si="0"/>
        <v>116.81498695102495</v>
      </c>
      <c r="J14">
        <f t="shared" ca="1" si="8"/>
        <v>-5.05850212289039E-3</v>
      </c>
      <c r="K14" s="12">
        <f t="shared" si="1"/>
        <v>116.99195740968783</v>
      </c>
      <c r="L14" s="12">
        <f t="shared" si="2"/>
        <v>3.1520592794678608E-2</v>
      </c>
      <c r="M14" s="12">
        <f t="shared" si="9"/>
        <v>109.76415194415205</v>
      </c>
      <c r="N14" s="12">
        <f t="shared" si="10"/>
        <v>124.21976287522361</v>
      </c>
      <c r="O14" s="14">
        <f t="shared" si="11"/>
        <v>7.3145514035503146E-3</v>
      </c>
      <c r="P14" s="15">
        <f t="shared" si="3"/>
        <v>2.3223018741889528E-4</v>
      </c>
      <c r="AE14">
        <v>12</v>
      </c>
      <c r="AF14">
        <f t="shared" si="12"/>
        <v>4.092621761525083E-2</v>
      </c>
      <c r="AG14">
        <v>0</v>
      </c>
      <c r="AH14" s="9">
        <f t="shared" si="4"/>
        <v>0</v>
      </c>
      <c r="AI14">
        <f ca="1"/>
        <v>0</v>
      </c>
      <c r="AJ14" s="9">
        <f t="shared" ca="1" si="5"/>
        <v>0</v>
      </c>
    </row>
    <row r="15" spans="1:36" x14ac:dyDescent="0.3">
      <c r="A15">
        <v>13</v>
      </c>
      <c r="B15" s="3">
        <v>44727</v>
      </c>
      <c r="C15">
        <v>121</v>
      </c>
      <c r="D15">
        <v>121.85</v>
      </c>
      <c r="E15">
        <v>117.75</v>
      </c>
      <c r="F15">
        <v>118.51</v>
      </c>
      <c r="G15" s="5">
        <f t="shared" si="6"/>
        <v>-9.6401097664586075E-3</v>
      </c>
      <c r="H15" s="5">
        <f t="shared" ca="1" si="7"/>
        <v>-1.4475361006246226</v>
      </c>
      <c r="I15">
        <f t="shared" ca="1" si="0"/>
        <v>115.77087375625557</v>
      </c>
      <c r="J15">
        <f t="shared" ca="1" si="8"/>
        <v>-8.9783635643483628E-3</v>
      </c>
      <c r="K15" s="12">
        <f t="shared" si="1"/>
        <v>116.96062832379613</v>
      </c>
      <c r="L15" s="12">
        <f t="shared" si="2"/>
        <v>3.2808352021900689E-2</v>
      </c>
      <c r="M15" s="12">
        <f t="shared" si="9"/>
        <v>109.43954880896653</v>
      </c>
      <c r="N15" s="12">
        <f t="shared" si="10"/>
        <v>124.48170783862572</v>
      </c>
      <c r="O15" s="14">
        <f t="shared" si="11"/>
        <v>2.7560176763378884E-3</v>
      </c>
      <c r="P15" s="15">
        <f t="shared" si="3"/>
        <v>3.2664716172150688E-5</v>
      </c>
      <c r="AE15">
        <v>13</v>
      </c>
      <c r="AF15">
        <f t="shared" si="12"/>
        <v>4.7778560406108242E-2</v>
      </c>
      <c r="AG15">
        <v>0</v>
      </c>
      <c r="AH15" s="9">
        <f t="shared" si="4"/>
        <v>0</v>
      </c>
      <c r="AI15">
        <f ca="1"/>
        <v>0</v>
      </c>
      <c r="AJ15" s="9">
        <f t="shared" ca="1" si="5"/>
        <v>0</v>
      </c>
    </row>
    <row r="16" spans="1:36" x14ac:dyDescent="0.3">
      <c r="A16">
        <v>14</v>
      </c>
      <c r="B16" s="3">
        <v>44728</v>
      </c>
      <c r="C16">
        <v>119.12</v>
      </c>
      <c r="D16">
        <v>120.28</v>
      </c>
      <c r="E16">
        <v>115.58</v>
      </c>
      <c r="F16">
        <v>119.81</v>
      </c>
      <c r="G16" s="5">
        <f t="shared" si="6"/>
        <v>4.7380700433808506E-3</v>
      </c>
      <c r="H16" s="5">
        <f t="shared" ca="1" si="7"/>
        <v>-1.2737749801132661</v>
      </c>
      <c r="I16">
        <f t="shared" ca="1" si="0"/>
        <v>115.94921933608914</v>
      </c>
      <c r="J16">
        <f t="shared" ca="1" si="8"/>
        <v>1.5393193802867163E-3</v>
      </c>
      <c r="K16" s="12">
        <f t="shared" si="1"/>
        <v>116.92930762746937</v>
      </c>
      <c r="L16" s="12">
        <f t="shared" si="2"/>
        <v>3.4047540444854224E-2</v>
      </c>
      <c r="M16" s="12">
        <f t="shared" si="9"/>
        <v>109.12624317942465</v>
      </c>
      <c r="N16" s="12">
        <f t="shared" si="10"/>
        <v>124.73237207551411</v>
      </c>
      <c r="O16" s="14">
        <f t="shared" si="11"/>
        <v>5.0852659667716509E-3</v>
      </c>
      <c r="P16" s="15">
        <f t="shared" si="3"/>
        <v>1.117183480007858E-4</v>
      </c>
      <c r="AE16">
        <v>14</v>
      </c>
      <c r="AF16">
        <f t="shared" si="12"/>
        <v>5.4630903196965654E-2</v>
      </c>
      <c r="AG16">
        <v>0</v>
      </c>
      <c r="AH16" s="9">
        <f t="shared" si="4"/>
        <v>0</v>
      </c>
      <c r="AI16">
        <f ca="1"/>
        <v>0</v>
      </c>
      <c r="AJ16" s="9">
        <f t="shared" ca="1" si="5"/>
        <v>0</v>
      </c>
    </row>
    <row r="17" spans="1:36" x14ac:dyDescent="0.3">
      <c r="A17">
        <v>15</v>
      </c>
      <c r="B17" s="3">
        <v>44729</v>
      </c>
      <c r="C17">
        <v>119.34</v>
      </c>
      <c r="D17">
        <v>121.25</v>
      </c>
      <c r="E17">
        <v>111.72</v>
      </c>
      <c r="F17">
        <v>113.12</v>
      </c>
      <c r="G17" s="5">
        <f t="shared" si="6"/>
        <v>-2.4953671713748769E-2</v>
      </c>
      <c r="H17" s="5">
        <f t="shared" ca="1" si="7"/>
        <v>-1.187263101172698</v>
      </c>
      <c r="I17">
        <f t="shared" ca="1" si="0"/>
        <v>116.03570530447709</v>
      </c>
      <c r="J17">
        <f t="shared" ca="1" si="8"/>
        <v>7.4561717774310969E-4</v>
      </c>
      <c r="K17" s="12">
        <f t="shared" si="1"/>
        <v>116.8979953184609</v>
      </c>
      <c r="L17" s="12">
        <f t="shared" si="2"/>
        <v>3.5243281835668425E-2</v>
      </c>
      <c r="M17" s="12">
        <f t="shared" si="9"/>
        <v>108.82305208819589</v>
      </c>
      <c r="N17" s="12">
        <f t="shared" si="10"/>
        <v>124.97293854872591</v>
      </c>
      <c r="O17" s="14">
        <f t="shared" si="11"/>
        <v>6.9478419014309834E-3</v>
      </c>
      <c r="P17" s="15">
        <f t="shared" si="3"/>
        <v>2.0356632347523807E-4</v>
      </c>
      <c r="AE17">
        <v>15</v>
      </c>
      <c r="AF17">
        <f t="shared" si="12"/>
        <v>6.1483245987823065E-2</v>
      </c>
      <c r="AG17">
        <v>0</v>
      </c>
      <c r="AH17" s="9">
        <f t="shared" si="4"/>
        <v>0</v>
      </c>
      <c r="AI17">
        <f ca="1"/>
        <v>0</v>
      </c>
      <c r="AJ17" s="9">
        <f t="shared" ca="1" si="5"/>
        <v>0</v>
      </c>
    </row>
    <row r="18" spans="1:36" x14ac:dyDescent="0.3">
      <c r="A18">
        <v>16</v>
      </c>
      <c r="B18" s="3">
        <v>44733</v>
      </c>
      <c r="C18">
        <v>113.8</v>
      </c>
      <c r="D18">
        <v>116.25</v>
      </c>
      <c r="E18">
        <v>111.57</v>
      </c>
      <c r="F18">
        <v>114.65</v>
      </c>
      <c r="G18" s="5">
        <f t="shared" si="6"/>
        <v>5.8346626131335162E-3</v>
      </c>
      <c r="H18" s="5">
        <f t="shared" ca="1" si="7"/>
        <v>-0.82472859208019267</v>
      </c>
      <c r="I18">
        <f t="shared" ca="1" si="0"/>
        <v>116.41420105131721</v>
      </c>
      <c r="J18">
        <f t="shared" ca="1" si="8"/>
        <v>3.2565819214967198E-3</v>
      </c>
      <c r="K18" s="12">
        <f t="shared" si="1"/>
        <v>116.86669139452472</v>
      </c>
      <c r="L18" s="12">
        <f t="shared" si="2"/>
        <v>3.6399858180679999E-2</v>
      </c>
      <c r="M18" s="12">
        <f t="shared" si="9"/>
        <v>108.52898664862498</v>
      </c>
      <c r="N18" s="12">
        <f t="shared" si="10"/>
        <v>125.20439614042448</v>
      </c>
      <c r="O18" s="14">
        <f t="shared" si="11"/>
        <v>4.0384551937285278E-3</v>
      </c>
      <c r="P18" s="15">
        <f t="shared" si="3"/>
        <v>6.9167330305016828E-5</v>
      </c>
      <c r="AE18">
        <v>16</v>
      </c>
      <c r="AF18">
        <f t="shared" si="12"/>
        <v>6.8335588778680484E-2</v>
      </c>
      <c r="AG18">
        <v>0</v>
      </c>
      <c r="AH18" s="9">
        <f t="shared" si="4"/>
        <v>0</v>
      </c>
      <c r="AI18">
        <f ca="1"/>
        <v>0</v>
      </c>
      <c r="AJ18" s="9">
        <f t="shared" ca="1" si="5"/>
        <v>0</v>
      </c>
    </row>
    <row r="19" spans="1:36" x14ac:dyDescent="0.3">
      <c r="A19">
        <v>17</v>
      </c>
      <c r="B19" s="3">
        <v>44734</v>
      </c>
      <c r="C19">
        <v>114.57</v>
      </c>
      <c r="D19">
        <v>114.57</v>
      </c>
      <c r="E19">
        <v>107.03</v>
      </c>
      <c r="F19">
        <v>111.74</v>
      </c>
      <c r="G19" s="5">
        <f t="shared" si="6"/>
        <v>-1.1165392041812088E-2</v>
      </c>
      <c r="H19" s="5">
        <f t="shared" ca="1" si="7"/>
        <v>1.5681904923908641E-2</v>
      </c>
      <c r="I19">
        <f t="shared" ca="1" si="0"/>
        <v>117.30276496010104</v>
      </c>
      <c r="J19">
        <f t="shared" ca="1" si="8"/>
        <v>7.6037970642258926E-3</v>
      </c>
      <c r="K19" s="12">
        <f t="shared" si="1"/>
        <v>116.83539585341538</v>
      </c>
      <c r="L19" s="12">
        <f t="shared" si="2"/>
        <v>3.7520891433798165E-2</v>
      </c>
      <c r="M19" s="12">
        <f t="shared" si="9"/>
        <v>108.24321017467135</v>
      </c>
      <c r="N19" s="12">
        <f t="shared" si="10"/>
        <v>125.42758153215941</v>
      </c>
      <c r="O19" s="14">
        <f t="shared" si="11"/>
        <v>9.4549777232889112E-3</v>
      </c>
      <c r="P19" s="15">
        <f t="shared" si="3"/>
        <v>3.7503294386761392E-4</v>
      </c>
      <c r="AE19">
        <v>17</v>
      </c>
      <c r="AF19">
        <f t="shared" si="12"/>
        <v>7.5187931569537902E-2</v>
      </c>
      <c r="AG19">
        <v>0</v>
      </c>
      <c r="AH19" s="9">
        <f t="shared" si="4"/>
        <v>0</v>
      </c>
      <c r="AI19">
        <f ca="1"/>
        <v>0</v>
      </c>
      <c r="AJ19" s="9">
        <f t="shared" ca="1" si="5"/>
        <v>0</v>
      </c>
    </row>
    <row r="20" spans="1:36" x14ac:dyDescent="0.3">
      <c r="A20">
        <v>18</v>
      </c>
      <c r="B20" s="3">
        <v>44735</v>
      </c>
      <c r="C20">
        <v>110.22</v>
      </c>
      <c r="D20">
        <v>112.69</v>
      </c>
      <c r="E20">
        <v>108.11</v>
      </c>
      <c r="F20">
        <v>110.05</v>
      </c>
      <c r="G20" s="5">
        <f t="shared" si="6"/>
        <v>-6.6186201347788404E-3</v>
      </c>
      <c r="H20" s="5">
        <f t="shared" ca="1" si="7"/>
        <v>0.37531348297702932</v>
      </c>
      <c r="I20">
        <f t="shared" ca="1" si="0"/>
        <v>117.68228594227448</v>
      </c>
      <c r="J20">
        <f t="shared" ca="1" si="8"/>
        <v>3.2301740958434757E-3</v>
      </c>
      <c r="K20" s="12">
        <f t="shared" si="1"/>
        <v>116.80410869288806</v>
      </c>
      <c r="L20" s="12">
        <f t="shared" si="2"/>
        <v>3.8609477727056869E-2</v>
      </c>
      <c r="M20" s="12">
        <f t="shared" si="9"/>
        <v>107.96500725219475</v>
      </c>
      <c r="N20" s="12">
        <f t="shared" si="10"/>
        <v>125.64321013358138</v>
      </c>
      <c r="O20" s="14">
        <f t="shared" si="11"/>
        <v>1.2670552007459344E-2</v>
      </c>
      <c r="P20" s="15">
        <f t="shared" si="3"/>
        <v>6.6915719385361586E-4</v>
      </c>
      <c r="AE20">
        <v>18</v>
      </c>
      <c r="AF20">
        <f t="shared" si="12"/>
        <v>8.2040274360395321E-2</v>
      </c>
      <c r="AG20">
        <v>0</v>
      </c>
      <c r="AH20" s="9">
        <f t="shared" si="4"/>
        <v>0</v>
      </c>
      <c r="AI20">
        <f ca="1"/>
        <v>0</v>
      </c>
      <c r="AJ20" s="9">
        <f t="shared" ca="1" si="5"/>
        <v>0</v>
      </c>
    </row>
    <row r="21" spans="1:36" x14ac:dyDescent="0.3">
      <c r="A21">
        <v>19</v>
      </c>
      <c r="B21" s="3">
        <v>44736</v>
      </c>
      <c r="C21">
        <v>109.81</v>
      </c>
      <c r="D21">
        <v>113.99</v>
      </c>
      <c r="E21">
        <v>109.27</v>
      </c>
      <c r="F21">
        <v>113.12</v>
      </c>
      <c r="G21" s="5">
        <f t="shared" si="6"/>
        <v>1.1949349563457412E-2</v>
      </c>
      <c r="H21" s="5">
        <f t="shared" ca="1" si="7"/>
        <v>2.1186875852207749</v>
      </c>
      <c r="I21">
        <f t="shared" ca="1" si="0"/>
        <v>119.55858654746905</v>
      </c>
      <c r="J21">
        <f t="shared" ca="1" si="8"/>
        <v>1.5818014052163636E-2</v>
      </c>
      <c r="K21" s="12">
        <f t="shared" si="1"/>
        <v>116.77282991069855</v>
      </c>
      <c r="L21" s="12">
        <f t="shared" si="2"/>
        <v>3.9668288408354804E-2</v>
      </c>
      <c r="M21" s="12">
        <f t="shared" si="9"/>
        <v>107.69376045219013</v>
      </c>
      <c r="N21" s="12">
        <f t="shared" si="10"/>
        <v>125.85189936920695</v>
      </c>
      <c r="O21" s="14">
        <f t="shared" si="11"/>
        <v>6.721277780349001E-3</v>
      </c>
      <c r="P21" s="15">
        <f t="shared" si="3"/>
        <v>1.9050648637592571E-4</v>
      </c>
      <c r="AE21">
        <v>19</v>
      </c>
      <c r="AF21">
        <f t="shared" si="12"/>
        <v>8.889261715125274E-2</v>
      </c>
      <c r="AG21">
        <v>0</v>
      </c>
      <c r="AH21" s="9">
        <f t="shared" si="4"/>
        <v>0</v>
      </c>
      <c r="AI21">
        <f ca="1"/>
        <v>0</v>
      </c>
      <c r="AJ21" s="9">
        <f t="shared" ca="1" si="5"/>
        <v>0</v>
      </c>
    </row>
    <row r="22" spans="1:36" x14ac:dyDescent="0.3">
      <c r="A22">
        <v>20</v>
      </c>
      <c r="B22" s="3">
        <v>44739</v>
      </c>
      <c r="C22">
        <v>112.46</v>
      </c>
      <c r="D22">
        <v>116.04</v>
      </c>
      <c r="E22">
        <v>111.25</v>
      </c>
      <c r="F22">
        <v>115.09</v>
      </c>
      <c r="G22" s="5">
        <f t="shared" si="6"/>
        <v>7.4981936105940755E-3</v>
      </c>
      <c r="H22" s="5">
        <f t="shared" ca="1" si="7"/>
        <v>0.74665783775353667</v>
      </c>
      <c r="I22">
        <f t="shared" ca="1" si="0"/>
        <v>118.07072963384256</v>
      </c>
      <c r="J22">
        <f t="shared" ca="1" si="8"/>
        <v>-1.2522666655328731E-2</v>
      </c>
      <c r="K22" s="12">
        <f t="shared" si="1"/>
        <v>116.74155950460323</v>
      </c>
      <c r="L22" s="12">
        <f t="shared" si="2"/>
        <v>4.0699647409182846E-2</v>
      </c>
      <c r="M22" s="12">
        <f t="shared" si="9"/>
        <v>107.42893249732568</v>
      </c>
      <c r="N22" s="12">
        <f t="shared" si="10"/>
        <v>126.0541865118808</v>
      </c>
      <c r="O22" s="14">
        <f t="shared" si="11"/>
        <v>3.0023229797324267E-3</v>
      </c>
      <c r="P22" s="15">
        <f t="shared" si="3"/>
        <v>3.8290112829819565E-5</v>
      </c>
      <c r="AE22">
        <v>20</v>
      </c>
      <c r="AF22">
        <f t="shared" si="12"/>
        <v>9.5744959942110158E-2</v>
      </c>
      <c r="AG22">
        <v>0</v>
      </c>
      <c r="AH22" s="9">
        <f t="shared" si="4"/>
        <v>0</v>
      </c>
      <c r="AI22">
        <f ca="1"/>
        <v>0</v>
      </c>
      <c r="AJ22" s="9">
        <f t="shared" ca="1" si="5"/>
        <v>0</v>
      </c>
    </row>
    <row r="23" spans="1:36" x14ac:dyDescent="0.3">
      <c r="A23">
        <v>21</v>
      </c>
      <c r="B23" s="3">
        <v>44740</v>
      </c>
      <c r="C23">
        <v>115.84</v>
      </c>
      <c r="D23">
        <v>118.24</v>
      </c>
      <c r="E23">
        <v>115.4</v>
      </c>
      <c r="F23">
        <v>117.98</v>
      </c>
      <c r="G23" s="5">
        <f t="shared" si="6"/>
        <v>1.0770801769710589E-2</v>
      </c>
      <c r="H23" s="5">
        <f t="shared" ca="1" si="7"/>
        <v>-0.26125397154722374</v>
      </c>
      <c r="I23">
        <f t="shared" ca="1" si="0"/>
        <v>116.98825504040195</v>
      </c>
      <c r="J23">
        <f t="shared" ca="1" si="8"/>
        <v>-9.2103030828168831E-3</v>
      </c>
      <c r="K23" s="12">
        <f t="shared" si="1"/>
        <v>116.71029747235904</v>
      </c>
      <c r="L23" s="12">
        <f t="shared" si="2"/>
        <v>4.1705591386210904E-2</v>
      </c>
      <c r="M23" s="12">
        <f t="shared" si="9"/>
        <v>107.1700523975462</v>
      </c>
      <c r="N23" s="12">
        <f t="shared" si="10"/>
        <v>126.25054254717189</v>
      </c>
      <c r="O23" s="14">
        <f t="shared" si="11"/>
        <v>2.2681710609006259E-3</v>
      </c>
      <c r="P23" s="15">
        <f t="shared" si="3"/>
        <v>2.2082629492927402E-5</v>
      </c>
      <c r="AE23">
        <v>21</v>
      </c>
      <c r="AF23">
        <f t="shared" si="12"/>
        <v>0.10259730273296758</v>
      </c>
      <c r="AG23">
        <v>0</v>
      </c>
      <c r="AH23" s="9">
        <f t="shared" ref="AH23:AH52" si="13">AG23/$AG$53</f>
        <v>0</v>
      </c>
      <c r="AI23">
        <f ca="1"/>
        <v>0</v>
      </c>
      <c r="AJ23" s="9">
        <f t="shared" ref="AJ23:AJ52" ca="1" si="14">AI23/$AI$53</f>
        <v>0</v>
      </c>
    </row>
    <row r="24" spans="1:36" x14ac:dyDescent="0.3">
      <c r="A24">
        <v>22</v>
      </c>
      <c r="B24" s="3">
        <v>44741</v>
      </c>
      <c r="C24">
        <v>117.96</v>
      </c>
      <c r="D24">
        <v>120.38</v>
      </c>
      <c r="E24">
        <v>115.41</v>
      </c>
      <c r="F24">
        <v>116.26</v>
      </c>
      <c r="G24" s="5">
        <f t="shared" si="6"/>
        <v>-6.3780732127594894E-3</v>
      </c>
      <c r="H24" s="5">
        <f t="shared" ca="1" si="7"/>
        <v>0.92017955251938632</v>
      </c>
      <c r="I24">
        <f t="shared" ca="1" si="0"/>
        <v>118.24746775601037</v>
      </c>
      <c r="J24">
        <f t="shared" ca="1" si="8"/>
        <v>1.0706067328409433E-2</v>
      </c>
      <c r="K24" s="12">
        <f t="shared" si="1"/>
        <v>116.67904381172363</v>
      </c>
      <c r="L24" s="12">
        <f t="shared" si="2"/>
        <v>4.2687917104744511E-2</v>
      </c>
      <c r="M24" s="12">
        <f t="shared" si="9"/>
        <v>106.91670452553603</v>
      </c>
      <c r="N24" s="12">
        <f t="shared" si="10"/>
        <v>126.44138309791123</v>
      </c>
      <c r="O24" s="14">
        <f t="shared" si="11"/>
        <v>7.5652166692325915E-4</v>
      </c>
      <c r="P24" s="15">
        <f t="shared" si="3"/>
        <v>2.4415399629449001E-6</v>
      </c>
      <c r="AE24">
        <v>22</v>
      </c>
      <c r="AF24">
        <f t="shared" si="12"/>
        <v>0.109449645523825</v>
      </c>
      <c r="AG24">
        <v>0</v>
      </c>
      <c r="AH24" s="9">
        <f t="shared" si="13"/>
        <v>0</v>
      </c>
      <c r="AI24">
        <f ca="1"/>
        <v>0</v>
      </c>
      <c r="AJ24" s="9">
        <f t="shared" ca="1" si="14"/>
        <v>0</v>
      </c>
    </row>
    <row r="25" spans="1:36" x14ac:dyDescent="0.3">
      <c r="A25">
        <v>23</v>
      </c>
      <c r="B25" s="3">
        <v>44742</v>
      </c>
      <c r="C25">
        <v>116.04</v>
      </c>
      <c r="D25">
        <v>116.33</v>
      </c>
      <c r="E25">
        <v>115</v>
      </c>
      <c r="F25">
        <v>114.81</v>
      </c>
      <c r="G25" s="5">
        <f t="shared" si="6"/>
        <v>-5.4506016762075641E-3</v>
      </c>
      <c r="H25" s="5">
        <f t="shared" ca="1" si="7"/>
        <v>0.71934543568967446</v>
      </c>
      <c r="I25">
        <f t="shared" ca="1" si="0"/>
        <v>118.02674568530175</v>
      </c>
      <c r="J25">
        <f t="shared" ca="1" si="8"/>
        <v>-1.8683556847021293E-3</v>
      </c>
      <c r="K25" s="12">
        <f t="shared" si="1"/>
        <v>116.64779852045513</v>
      </c>
      <c r="L25" s="12">
        <f t="shared" si="2"/>
        <v>4.3648219223739744E-2</v>
      </c>
      <c r="M25" s="12">
        <f t="shared" si="9"/>
        <v>106.66851990415174</v>
      </c>
      <c r="N25" s="12">
        <f t="shared" si="10"/>
        <v>126.62707713675852</v>
      </c>
      <c r="O25" s="14">
        <f t="shared" si="11"/>
        <v>3.3480086332495808E-3</v>
      </c>
      <c r="P25" s="15">
        <f t="shared" si="3"/>
        <v>4.7566262347425581E-5</v>
      </c>
      <c r="AE25">
        <v>23</v>
      </c>
      <c r="AF25">
        <f t="shared" si="12"/>
        <v>0.11630198831468241</v>
      </c>
      <c r="AG25">
        <v>0</v>
      </c>
      <c r="AH25" s="9">
        <f t="shared" si="13"/>
        <v>0</v>
      </c>
      <c r="AI25">
        <f ca="1"/>
        <v>0</v>
      </c>
      <c r="AJ25" s="9">
        <f t="shared" ca="1" si="14"/>
        <v>0</v>
      </c>
    </row>
    <row r="26" spans="1:36" x14ac:dyDescent="0.3">
      <c r="A26">
        <v>24</v>
      </c>
      <c r="B26" s="3">
        <v>44743</v>
      </c>
      <c r="C26">
        <v>109.46</v>
      </c>
      <c r="D26">
        <v>112.42</v>
      </c>
      <c r="E26">
        <v>108.01</v>
      </c>
      <c r="F26">
        <v>111.63</v>
      </c>
      <c r="G26" s="5">
        <f t="shared" si="6"/>
        <v>-1.2198792202965276E-2</v>
      </c>
      <c r="H26" s="5">
        <f t="shared" ca="1" si="7"/>
        <v>-1.1619956441658594</v>
      </c>
      <c r="I26">
        <f t="shared" ca="1" si="0"/>
        <v>116.01916691701668</v>
      </c>
      <c r="J26">
        <f t="shared" ca="1" si="8"/>
        <v>-1.7155847632255285E-2</v>
      </c>
      <c r="K26" s="12">
        <f t="shared" si="1"/>
        <v>116.61656159631232</v>
      </c>
      <c r="L26" s="12">
        <f t="shared" si="2"/>
        <v>4.458792075694324E-2</v>
      </c>
      <c r="M26" s="12">
        <f t="shared" si="9"/>
        <v>106.42516918180134</v>
      </c>
      <c r="N26" s="12">
        <f t="shared" si="10"/>
        <v>126.80795401082331</v>
      </c>
      <c r="O26" s="14">
        <f t="shared" si="11"/>
        <v>9.2682314124474773E-3</v>
      </c>
      <c r="P26" s="15">
        <f t="shared" si="3"/>
        <v>3.6021411289475656E-4</v>
      </c>
      <c r="AE26">
        <v>24</v>
      </c>
      <c r="AF26">
        <f t="shared" si="12"/>
        <v>0.12315433110553983</v>
      </c>
      <c r="AG26">
        <v>0</v>
      </c>
      <c r="AH26" s="9">
        <f t="shared" si="13"/>
        <v>0</v>
      </c>
      <c r="AI26">
        <f ca="1"/>
        <v>0</v>
      </c>
      <c r="AJ26" s="9">
        <f t="shared" ca="1" si="14"/>
        <v>0</v>
      </c>
    </row>
    <row r="27" spans="1:36" x14ac:dyDescent="0.3">
      <c r="A27">
        <v>25</v>
      </c>
      <c r="B27" s="3">
        <v>44747</v>
      </c>
      <c r="C27">
        <v>111.61</v>
      </c>
      <c r="D27">
        <v>114.69</v>
      </c>
      <c r="E27">
        <v>101.11</v>
      </c>
      <c r="F27">
        <v>102.77</v>
      </c>
      <c r="G27" s="5">
        <f t="shared" si="6"/>
        <v>-3.5914568213472317E-2</v>
      </c>
      <c r="H27" s="5">
        <f t="shared" ca="1" si="7"/>
        <v>-1.548241409287086</v>
      </c>
      <c r="I27">
        <f t="shared" ca="1" si="0"/>
        <v>115.60744680200875</v>
      </c>
      <c r="J27">
        <f t="shared" ca="1" si="8"/>
        <v>-3.5550366343218244E-3</v>
      </c>
      <c r="K27" s="12">
        <f t="shared" si="1"/>
        <v>116.5853330370546</v>
      </c>
      <c r="L27" s="12">
        <f t="shared" si="2"/>
        <v>4.550829787391223E-2</v>
      </c>
      <c r="M27" s="12">
        <f t="shared" si="9"/>
        <v>106.1863569124387</v>
      </c>
      <c r="N27" s="12">
        <f t="shared" si="10"/>
        <v>126.98430916167051</v>
      </c>
      <c r="O27" s="14">
        <f t="shared" si="11"/>
        <v>2.7227236511571131E-2</v>
      </c>
      <c r="P27" s="15">
        <f t="shared" si="3"/>
        <v>3.0005812021297019E-3</v>
      </c>
      <c r="AE27">
        <v>25</v>
      </c>
      <c r="AF27">
        <f t="shared" si="12"/>
        <v>0.13000667389639725</v>
      </c>
      <c r="AG27">
        <v>0</v>
      </c>
      <c r="AH27" s="9">
        <f t="shared" si="13"/>
        <v>0</v>
      </c>
      <c r="AI27">
        <f ca="1"/>
        <v>0</v>
      </c>
      <c r="AJ27" s="9">
        <f t="shared" ca="1" si="14"/>
        <v>0</v>
      </c>
    </row>
    <row r="28" spans="1:36" x14ac:dyDescent="0.3">
      <c r="A28">
        <v>26</v>
      </c>
      <c r="B28" s="3">
        <v>44748</v>
      </c>
      <c r="C28">
        <v>104</v>
      </c>
      <c r="D28">
        <v>105.8</v>
      </c>
      <c r="E28">
        <v>98.51</v>
      </c>
      <c r="F28">
        <v>100.69</v>
      </c>
      <c r="G28" s="5">
        <f t="shared" si="6"/>
        <v>-8.880015670939231E-3</v>
      </c>
      <c r="H28" s="5">
        <f t="shared" ca="1" si="7"/>
        <v>-0.97959166104510975</v>
      </c>
      <c r="I28">
        <f t="shared" ca="1" si="0"/>
        <v>116.20222303196329</v>
      </c>
      <c r="J28">
        <f t="shared" ca="1" si="8"/>
        <v>5.1316024528559713E-3</v>
      </c>
      <c r="K28" s="12">
        <f t="shared" si="1"/>
        <v>116.55411284044195</v>
      </c>
      <c r="L28" s="12">
        <f t="shared" si="2"/>
        <v>4.6410500275599904E-2</v>
      </c>
      <c r="M28" s="12">
        <f t="shared" si="9"/>
        <v>105.95181685567883</v>
      </c>
      <c r="N28" s="12">
        <f t="shared" si="10"/>
        <v>127.15640882520506</v>
      </c>
      <c r="O28" s="14">
        <f t="shared" si="11"/>
        <v>3.1723262863338493E-2</v>
      </c>
      <c r="P28" s="15">
        <f t="shared" si="3"/>
        <v>4.0374920023092606E-3</v>
      </c>
      <c r="AE28">
        <v>26</v>
      </c>
      <c r="AF28">
        <f t="shared" si="12"/>
        <v>0.13685901668725467</v>
      </c>
      <c r="AG28">
        <v>0</v>
      </c>
      <c r="AH28" s="9">
        <f t="shared" si="13"/>
        <v>0</v>
      </c>
      <c r="AI28">
        <f ca="1"/>
        <v>0</v>
      </c>
      <c r="AJ28" s="9">
        <f t="shared" ca="1" si="14"/>
        <v>0</v>
      </c>
    </row>
    <row r="29" spans="1:36" x14ac:dyDescent="0.3">
      <c r="A29">
        <v>27</v>
      </c>
      <c r="B29" s="3">
        <v>44749</v>
      </c>
      <c r="C29">
        <v>99.96</v>
      </c>
      <c r="D29">
        <v>106.35</v>
      </c>
      <c r="E29">
        <v>98.47</v>
      </c>
      <c r="F29">
        <v>104.65</v>
      </c>
      <c r="G29" s="5">
        <f t="shared" si="6"/>
        <v>1.6752891817920328E-2</v>
      </c>
      <c r="H29" s="5">
        <f t="shared" ca="1" si="7"/>
        <v>-1.6818974890797262</v>
      </c>
      <c r="I29">
        <f t="shared" ca="1" si="0"/>
        <v>115.45741438141238</v>
      </c>
      <c r="J29">
        <f t="shared" ca="1" si="8"/>
        <v>-6.4302200004364889E-3</v>
      </c>
      <c r="K29" s="12">
        <f t="shared" si="1"/>
        <v>116.52290100423495</v>
      </c>
      <c r="L29" s="12">
        <f t="shared" si="2"/>
        <v>4.7295568072998576E-2</v>
      </c>
      <c r="M29" s="12">
        <f t="shared" si="9"/>
        <v>105.72130808307718</v>
      </c>
      <c r="N29" s="12">
        <f t="shared" si="10"/>
        <v>127.32449392539272</v>
      </c>
      <c r="O29" s="14">
        <f t="shared" si="11"/>
        <v>2.310796118756029E-2</v>
      </c>
      <c r="P29" s="15">
        <f t="shared" si="3"/>
        <v>2.1782807923780112E-3</v>
      </c>
      <c r="AE29">
        <v>27</v>
      </c>
      <c r="AF29">
        <f t="shared" si="12"/>
        <v>0.14371135947811209</v>
      </c>
      <c r="AG29">
        <v>0</v>
      </c>
      <c r="AH29" s="9">
        <f t="shared" si="13"/>
        <v>0</v>
      </c>
      <c r="AI29">
        <f ca="1"/>
        <v>0</v>
      </c>
      <c r="AJ29" s="9">
        <f t="shared" ca="1" si="14"/>
        <v>0</v>
      </c>
    </row>
    <row r="30" spans="1:36" x14ac:dyDescent="0.3">
      <c r="A30">
        <v>28</v>
      </c>
      <c r="B30" s="3">
        <v>44750</v>
      </c>
      <c r="C30">
        <v>104.49</v>
      </c>
      <c r="D30">
        <v>107.45</v>
      </c>
      <c r="E30">
        <v>103.75</v>
      </c>
      <c r="F30">
        <v>107.02</v>
      </c>
      <c r="G30" s="5">
        <f t="shared" si="6"/>
        <v>9.725713963530629E-3</v>
      </c>
      <c r="H30" s="5">
        <f t="shared" ca="1" si="7"/>
        <v>-3.426134099270763</v>
      </c>
      <c r="I30">
        <f t="shared" ca="1" si="0"/>
        <v>113.63517989598932</v>
      </c>
      <c r="J30">
        <f t="shared" ca="1" si="8"/>
        <v>-1.5908614789973029E-2</v>
      </c>
      <c r="K30" s="12">
        <f t="shared" si="1"/>
        <v>116.49169752619477</v>
      </c>
      <c r="L30" s="12">
        <f t="shared" si="2"/>
        <v>4.8164445875531911E-2</v>
      </c>
      <c r="M30" s="12">
        <f t="shared" si="9"/>
        <v>105.49461172771424</v>
      </c>
      <c r="N30" s="12">
        <f t="shared" si="10"/>
        <v>127.4887833246753</v>
      </c>
      <c r="O30" s="14">
        <f t="shared" si="11"/>
        <v>1.8147653798111354E-2</v>
      </c>
      <c r="P30" s="15">
        <f t="shared" si="3"/>
        <v>1.3564509070142648E-3</v>
      </c>
      <c r="AE30">
        <v>28</v>
      </c>
      <c r="AF30">
        <f t="shared" si="12"/>
        <v>0.15056370226896951</v>
      </c>
      <c r="AG30">
        <v>0</v>
      </c>
      <c r="AH30" s="9">
        <f t="shared" si="13"/>
        <v>0</v>
      </c>
      <c r="AI30">
        <f ca="1"/>
        <v>0</v>
      </c>
      <c r="AJ30" s="9">
        <f t="shared" ca="1" si="14"/>
        <v>0</v>
      </c>
    </row>
    <row r="31" spans="1:36" x14ac:dyDescent="0.3">
      <c r="A31">
        <v>29</v>
      </c>
      <c r="B31" s="3">
        <v>44753</v>
      </c>
      <c r="C31">
        <v>106.76</v>
      </c>
      <c r="D31">
        <v>107.66</v>
      </c>
      <c r="E31">
        <v>103.66</v>
      </c>
      <c r="F31">
        <v>107.1</v>
      </c>
      <c r="G31" s="5">
        <f t="shared" si="6"/>
        <v>3.2452419361965901E-4</v>
      </c>
      <c r="H31" s="5">
        <f t="shared" ca="1" si="7"/>
        <v>-3.5433097476510289</v>
      </c>
      <c r="I31">
        <f t="shared" ca="1" si="0"/>
        <v>113.50941919200235</v>
      </c>
      <c r="J31">
        <f t="shared" ca="1" si="8"/>
        <v>-1.1073185745298828E-3</v>
      </c>
      <c r="K31" s="12">
        <f t="shared" si="1"/>
        <v>116.4605024040832</v>
      </c>
      <c r="L31" s="12">
        <f t="shared" si="2"/>
        <v>4.9017994633074241E-2</v>
      </c>
      <c r="M31" s="12">
        <f t="shared" si="9"/>
        <v>105.27152825173857</v>
      </c>
      <c r="N31" s="12">
        <f t="shared" si="10"/>
        <v>127.64947655642783</v>
      </c>
      <c r="O31" s="14">
        <f t="shared" si="11"/>
        <v>1.7927567853302708E-2</v>
      </c>
      <c r="P31" s="15">
        <f t="shared" si="3"/>
        <v>1.3241730372328074E-3</v>
      </c>
      <c r="AE31">
        <v>29</v>
      </c>
      <c r="AF31">
        <f t="shared" si="12"/>
        <v>0.15741604505982693</v>
      </c>
      <c r="AG31">
        <v>0</v>
      </c>
      <c r="AH31" s="9">
        <f t="shared" si="13"/>
        <v>0</v>
      </c>
      <c r="AI31">
        <f ca="1"/>
        <v>0</v>
      </c>
      <c r="AJ31" s="9">
        <f t="shared" ca="1" si="14"/>
        <v>0</v>
      </c>
    </row>
    <row r="32" spans="1:36" x14ac:dyDescent="0.3">
      <c r="A32">
        <v>30</v>
      </c>
      <c r="B32" s="3">
        <v>44754</v>
      </c>
      <c r="C32">
        <v>106.23</v>
      </c>
      <c r="D32">
        <v>106.51</v>
      </c>
      <c r="E32">
        <v>98.91</v>
      </c>
      <c r="F32">
        <v>99.49</v>
      </c>
      <c r="G32" s="5">
        <f t="shared" si="6"/>
        <v>-3.2010039966251666E-2</v>
      </c>
      <c r="H32" s="5">
        <f t="shared" ca="1" si="7"/>
        <v>-4.9311329940583137</v>
      </c>
      <c r="I32">
        <f t="shared" ca="1" si="0"/>
        <v>112.08073755168307</v>
      </c>
      <c r="J32">
        <f t="shared" ca="1" si="8"/>
        <v>-1.2666339364327808E-2</v>
      </c>
      <c r="K32" s="12">
        <f t="shared" si="1"/>
        <v>116.4293156356626</v>
      </c>
      <c r="L32" s="12">
        <f t="shared" si="2"/>
        <v>4.9857001654415055E-2</v>
      </c>
      <c r="M32" s="12">
        <f t="shared" si="9"/>
        <v>105.0518751344141</v>
      </c>
      <c r="N32" s="12">
        <f t="shared" si="10"/>
        <v>127.80675613691109</v>
      </c>
      <c r="O32" s="14">
        <f t="shared" si="11"/>
        <v>3.4179405789460694E-2</v>
      </c>
      <c r="P32" s="15">
        <f t="shared" si="3"/>
        <v>4.662556323217406E-3</v>
      </c>
      <c r="AE32">
        <v>30</v>
      </c>
      <c r="AF32">
        <f t="shared" si="12"/>
        <v>0.16426838785068434</v>
      </c>
      <c r="AG32">
        <v>0</v>
      </c>
      <c r="AH32" s="9">
        <f t="shared" si="13"/>
        <v>0</v>
      </c>
      <c r="AI32">
        <f ca="1"/>
        <v>0</v>
      </c>
      <c r="AJ32" s="9">
        <f t="shared" ca="1" si="14"/>
        <v>0</v>
      </c>
    </row>
    <row r="33" spans="1:36" x14ac:dyDescent="0.3">
      <c r="A33">
        <v>31</v>
      </c>
      <c r="B33" s="3">
        <v>44755</v>
      </c>
      <c r="C33">
        <v>99.31</v>
      </c>
      <c r="D33">
        <v>101.2</v>
      </c>
      <c r="E33">
        <v>97.3</v>
      </c>
      <c r="F33">
        <v>99.57</v>
      </c>
      <c r="G33" s="5">
        <f t="shared" si="6"/>
        <v>3.4907626266246749E-4</v>
      </c>
      <c r="H33" s="5">
        <f t="shared" ca="1" si="7"/>
        <v>-6.6844369591425856</v>
      </c>
      <c r="I33">
        <f t="shared" ca="1" si="0"/>
        <v>110.30269755667231</v>
      </c>
      <c r="J33">
        <f t="shared" ca="1" si="8"/>
        <v>-1.5991100086354414E-2</v>
      </c>
      <c r="K33" s="12">
        <f t="shared" si="1"/>
        <v>116.39813721869598</v>
      </c>
      <c r="L33" s="12">
        <f t="shared" si="2"/>
        <v>5.0682189134115221E-2</v>
      </c>
      <c r="M33" s="12">
        <f t="shared" si="9"/>
        <v>104.83548490415775</v>
      </c>
      <c r="N33" s="12">
        <f t="shared" si="10"/>
        <v>127.96078953323421</v>
      </c>
      <c r="O33" s="14">
        <f t="shared" si="11"/>
        <v>3.3940521219569982E-2</v>
      </c>
      <c r="P33" s="15">
        <f t="shared" si="3"/>
        <v>4.5992164252607161E-3</v>
      </c>
      <c r="AE33">
        <v>31</v>
      </c>
      <c r="AF33">
        <f t="shared" si="12"/>
        <v>0.17112073064154176</v>
      </c>
      <c r="AG33">
        <v>0</v>
      </c>
      <c r="AH33" s="9">
        <f t="shared" si="13"/>
        <v>0</v>
      </c>
      <c r="AI33">
        <f ca="1"/>
        <v>0</v>
      </c>
      <c r="AJ33" s="9">
        <f t="shared" ca="1" si="14"/>
        <v>0</v>
      </c>
    </row>
    <row r="34" spans="1:36" x14ac:dyDescent="0.3">
      <c r="A34">
        <v>32</v>
      </c>
      <c r="B34" s="3">
        <v>44756</v>
      </c>
      <c r="C34">
        <v>99.85</v>
      </c>
      <c r="D34">
        <v>100.37</v>
      </c>
      <c r="E34">
        <v>94.5</v>
      </c>
      <c r="F34">
        <v>99.1</v>
      </c>
      <c r="G34" s="5">
        <f t="shared" si="6"/>
        <v>-2.0548526429910717E-3</v>
      </c>
      <c r="H34" s="5">
        <f t="shared" ca="1" si="7"/>
        <v>-7.481261892527221</v>
      </c>
      <c r="I34">
        <f t="shared" ca="1" si="0"/>
        <v>109.50150863990878</v>
      </c>
      <c r="J34">
        <f t="shared" ca="1" si="8"/>
        <v>-7.2900558081540673E-3</v>
      </c>
      <c r="K34" s="12">
        <f t="shared" si="1"/>
        <v>116.36696715094691</v>
      </c>
      <c r="L34" s="12">
        <f t="shared" si="2"/>
        <v>5.1494221450469099E-2</v>
      </c>
      <c r="M34" s="12">
        <f t="shared" si="9"/>
        <v>104.62220345400588</v>
      </c>
      <c r="N34" s="12">
        <f t="shared" si="10"/>
        <v>128.11173084788794</v>
      </c>
      <c r="O34" s="14">
        <f t="shared" si="11"/>
        <v>3.4946636811093758E-2</v>
      </c>
      <c r="P34" s="15">
        <f t="shared" si="3"/>
        <v>4.8659080534191402E-3</v>
      </c>
      <c r="AE34">
        <v>32</v>
      </c>
      <c r="AF34">
        <f t="shared" si="12"/>
        <v>0.17797307343239918</v>
      </c>
      <c r="AG34">
        <v>0</v>
      </c>
      <c r="AH34" s="9">
        <f t="shared" si="13"/>
        <v>0</v>
      </c>
      <c r="AI34">
        <f ca="1"/>
        <v>0</v>
      </c>
      <c r="AJ34" s="9">
        <f t="shared" ca="1" si="14"/>
        <v>0</v>
      </c>
    </row>
    <row r="35" spans="1:36" x14ac:dyDescent="0.3">
      <c r="A35">
        <v>33</v>
      </c>
      <c r="B35" s="3">
        <v>44757</v>
      </c>
      <c r="C35">
        <v>99.6</v>
      </c>
      <c r="D35">
        <v>102.62</v>
      </c>
      <c r="E35">
        <v>98.21</v>
      </c>
      <c r="F35">
        <v>101.16</v>
      </c>
      <c r="G35" s="5">
        <f t="shared" si="6"/>
        <v>8.9351661870918139E-3</v>
      </c>
      <c r="H35" s="5">
        <f t="shared" ca="1" si="7"/>
        <v>-7.9431532675026517</v>
      </c>
      <c r="I35">
        <f t="shared" ca="1" si="0"/>
        <v>109.03785827436185</v>
      </c>
      <c r="J35">
        <f t="shared" ca="1" si="8"/>
        <v>-4.2431811508024274E-3</v>
      </c>
      <c r="K35" s="12">
        <f t="shared" si="1"/>
        <v>116.33580543017953</v>
      </c>
      <c r="L35" s="12">
        <f t="shared" si="2"/>
        <v>5.2293711444372441E-2</v>
      </c>
      <c r="M35" s="12">
        <f t="shared" si="9"/>
        <v>104.41188859214319</v>
      </c>
      <c r="N35" s="12">
        <f t="shared" si="10"/>
        <v>128.25972226821588</v>
      </c>
      <c r="O35" s="14">
        <f t="shared" si="11"/>
        <v>3.027646544563567E-2</v>
      </c>
      <c r="P35" s="15">
        <f t="shared" si="3"/>
        <v>3.6850460666409323E-3</v>
      </c>
      <c r="AE35">
        <v>33</v>
      </c>
      <c r="AF35">
        <f t="shared" ref="AF35:AF52" si="15">AF34+$AB$2</f>
        <v>0.1848254162232566</v>
      </c>
      <c r="AG35">
        <v>0</v>
      </c>
      <c r="AH35" s="9">
        <f t="shared" si="13"/>
        <v>0</v>
      </c>
      <c r="AI35">
        <f ca="1"/>
        <v>0</v>
      </c>
      <c r="AJ35" s="9">
        <f t="shared" ca="1" si="14"/>
        <v>0</v>
      </c>
    </row>
    <row r="36" spans="1:36" x14ac:dyDescent="0.3">
      <c r="A36">
        <v>34</v>
      </c>
      <c r="B36" s="3">
        <v>44760</v>
      </c>
      <c r="C36">
        <v>100.92</v>
      </c>
      <c r="D36">
        <v>106.47</v>
      </c>
      <c r="E36">
        <v>99.48</v>
      </c>
      <c r="F36">
        <v>106.27</v>
      </c>
      <c r="G36" s="5">
        <f t="shared" si="6"/>
        <v>2.1401859906406893E-2</v>
      </c>
      <c r="H36" s="5">
        <f t="shared" ca="1" si="7"/>
        <v>-7.7199876023181346</v>
      </c>
      <c r="I36">
        <f t="shared" ca="1" si="0"/>
        <v>109.25492310633643</v>
      </c>
      <c r="J36">
        <f t="shared" ca="1" si="8"/>
        <v>1.9887501743749646E-3</v>
      </c>
      <c r="K36" s="12">
        <f t="shared" si="1"/>
        <v>116.30465205415867</v>
      </c>
      <c r="L36" s="12">
        <f t="shared" si="2"/>
        <v>5.3081225847818519E-2</v>
      </c>
      <c r="M36" s="12">
        <f t="shared" si="9"/>
        <v>104.20440878859472</v>
      </c>
      <c r="N36" s="12">
        <f t="shared" si="10"/>
        <v>128.40489531972261</v>
      </c>
      <c r="O36" s="14">
        <f t="shared" si="11"/>
        <v>1.9337840132468261E-2</v>
      </c>
      <c r="P36" s="15">
        <f t="shared" si="3"/>
        <v>1.5355743982493845E-3</v>
      </c>
      <c r="AE36">
        <v>34</v>
      </c>
      <c r="AF36">
        <f t="shared" si="15"/>
        <v>0.19167775901411402</v>
      </c>
      <c r="AG36">
        <v>0</v>
      </c>
      <c r="AH36" s="9">
        <f t="shared" si="13"/>
        <v>0</v>
      </c>
      <c r="AI36">
        <f ca="1"/>
        <v>0</v>
      </c>
      <c r="AJ36" s="9">
        <f t="shared" ca="1" si="14"/>
        <v>0</v>
      </c>
    </row>
    <row r="37" spans="1:36" x14ac:dyDescent="0.3">
      <c r="A37">
        <v>35</v>
      </c>
      <c r="B37" s="3">
        <v>44761</v>
      </c>
      <c r="C37">
        <v>105.59</v>
      </c>
      <c r="D37">
        <v>107.6</v>
      </c>
      <c r="E37">
        <v>103.59</v>
      </c>
      <c r="F37">
        <v>107.35</v>
      </c>
      <c r="G37" s="5">
        <f t="shared" si="6"/>
        <v>4.3913681934934961E-3</v>
      </c>
      <c r="H37" s="5">
        <f t="shared" ca="1" si="7"/>
        <v>-7.0998653726391936</v>
      </c>
      <c r="I37">
        <f t="shared" ca="1" si="0"/>
        <v>109.86844998422433</v>
      </c>
      <c r="J37">
        <f t="shared" ca="1" si="8"/>
        <v>5.5998451693700943E-3</v>
      </c>
      <c r="K37" s="12">
        <f t="shared" si="1"/>
        <v>116.27350702064966</v>
      </c>
      <c r="L37" s="12">
        <f t="shared" si="2"/>
        <v>5.3857289998636239E-2</v>
      </c>
      <c r="M37" s="12">
        <f t="shared" si="9"/>
        <v>103.99964208658126</v>
      </c>
      <c r="N37" s="12">
        <f t="shared" si="10"/>
        <v>128.54737195471807</v>
      </c>
      <c r="O37" s="14">
        <f t="shared" si="11"/>
        <v>1.7076367942465934E-2</v>
      </c>
      <c r="P37" s="15">
        <f t="shared" si="3"/>
        <v>1.2026138291291281E-3</v>
      </c>
      <c r="AE37">
        <v>35</v>
      </c>
      <c r="AF37">
        <f t="shared" si="15"/>
        <v>0.19853010180497144</v>
      </c>
      <c r="AG37">
        <v>0</v>
      </c>
      <c r="AH37" s="9">
        <f t="shared" si="13"/>
        <v>0</v>
      </c>
      <c r="AI37">
        <f ca="1"/>
        <v>0</v>
      </c>
      <c r="AJ37" s="9">
        <f t="shared" ca="1" si="14"/>
        <v>0</v>
      </c>
    </row>
    <row r="38" spans="1:36" x14ac:dyDescent="0.3">
      <c r="A38">
        <v>36</v>
      </c>
      <c r="B38" s="3">
        <v>44762</v>
      </c>
      <c r="C38">
        <v>107.15</v>
      </c>
      <c r="D38">
        <v>107.43</v>
      </c>
      <c r="E38">
        <v>105.09</v>
      </c>
      <c r="F38">
        <v>106.92</v>
      </c>
      <c r="G38" s="5">
        <f t="shared" si="6"/>
        <v>-1.7430986877678481E-3</v>
      </c>
      <c r="H38" s="5">
        <f t="shared" ca="1" si="7"/>
        <v>-7.1670919479799657</v>
      </c>
      <c r="I38">
        <f t="shared" ca="1" si="0"/>
        <v>109.79673652687023</v>
      </c>
      <c r="J38">
        <f t="shared" ca="1" si="8"/>
        <v>-6.5293423178122765E-4</v>
      </c>
      <c r="K38" s="12">
        <f t="shared" si="1"/>
        <v>116.2423703274185</v>
      </c>
      <c r="L38" s="12">
        <f t="shared" si="2"/>
        <v>5.4622391952991248E-2</v>
      </c>
      <c r="M38" s="12">
        <f t="shared" si="9"/>
        <v>103.79747515282324</v>
      </c>
      <c r="N38" s="12">
        <f t="shared" si="10"/>
        <v>128.68726550201376</v>
      </c>
      <c r="O38" s="14">
        <f t="shared" si="11"/>
        <v>1.7892780839259909E-2</v>
      </c>
      <c r="P38" s="15">
        <f t="shared" si="3"/>
        <v>1.3180898460641275E-3</v>
      </c>
      <c r="AE38">
        <v>36</v>
      </c>
      <c r="AF38">
        <f t="shared" si="15"/>
        <v>0.20538244459582886</v>
      </c>
      <c r="AG38">
        <v>0</v>
      </c>
      <c r="AH38" s="9">
        <f t="shared" si="13"/>
        <v>0</v>
      </c>
      <c r="AI38">
        <f ca="1"/>
        <v>0</v>
      </c>
      <c r="AJ38" s="9">
        <f t="shared" ca="1" si="14"/>
        <v>0</v>
      </c>
    </row>
    <row r="39" spans="1:36" x14ac:dyDescent="0.3">
      <c r="A39">
        <v>37</v>
      </c>
      <c r="B39" s="3">
        <v>44763</v>
      </c>
      <c r="C39">
        <v>106.79</v>
      </c>
      <c r="D39">
        <v>106.8</v>
      </c>
      <c r="E39">
        <v>101.52</v>
      </c>
      <c r="F39">
        <v>103.86</v>
      </c>
      <c r="G39" s="5">
        <f t="shared" si="6"/>
        <v>-1.2610631825462135E-2</v>
      </c>
      <c r="H39" s="5">
        <f t="shared" ca="1" si="7"/>
        <v>-7.0363528019203123</v>
      </c>
      <c r="I39">
        <f t="shared" ca="1" si="0"/>
        <v>109.92285012034009</v>
      </c>
      <c r="J39">
        <f t="shared" ca="1" si="8"/>
        <v>1.1479505240616561E-3</v>
      </c>
      <c r="K39" s="12">
        <f t="shared" si="1"/>
        <v>116.21124197223176</v>
      </c>
      <c r="L39" s="12">
        <f t="shared" si="2"/>
        <v>5.5376986087024925E-2</v>
      </c>
      <c r="M39" s="12">
        <f t="shared" si="9"/>
        <v>103.59780244572153</v>
      </c>
      <c r="N39" s="12">
        <f t="shared" si="10"/>
        <v>128.824681498742</v>
      </c>
      <c r="O39" s="14">
        <f t="shared" si="11"/>
        <v>2.4200880280571772E-2</v>
      </c>
      <c r="P39" s="15">
        <f t="shared" si="3"/>
        <v>2.3814228558244267E-3</v>
      </c>
      <c r="AE39">
        <v>37</v>
      </c>
      <c r="AF39">
        <f t="shared" si="15"/>
        <v>0.21223478738668627</v>
      </c>
      <c r="AG39">
        <v>0</v>
      </c>
      <c r="AH39" s="9">
        <f t="shared" si="13"/>
        <v>0</v>
      </c>
      <c r="AI39">
        <f ca="1"/>
        <v>0</v>
      </c>
      <c r="AJ39" s="9">
        <f t="shared" ca="1" si="14"/>
        <v>0</v>
      </c>
    </row>
    <row r="40" spans="1:36" x14ac:dyDescent="0.3">
      <c r="A40">
        <v>38</v>
      </c>
      <c r="B40" s="3">
        <v>44764</v>
      </c>
      <c r="C40">
        <v>104.25</v>
      </c>
      <c r="D40">
        <v>105.68</v>
      </c>
      <c r="E40">
        <v>101.91</v>
      </c>
      <c r="F40">
        <v>103.2</v>
      </c>
      <c r="G40" s="5">
        <f t="shared" si="6"/>
        <v>-2.7686209678449416E-3</v>
      </c>
      <c r="H40" s="5">
        <f t="shared" ca="1" si="7"/>
        <v>-7.7451654397293304</v>
      </c>
      <c r="I40">
        <f t="shared" ca="1" si="0"/>
        <v>109.21182500510649</v>
      </c>
      <c r="J40">
        <f t="shared" ca="1" si="8"/>
        <v>-6.4894121396058468E-3</v>
      </c>
      <c r="K40" s="12">
        <f t="shared" si="1"/>
        <v>116.1801219528566</v>
      </c>
      <c r="L40" s="12">
        <f t="shared" si="2"/>
        <v>5.6121496263147351E-2</v>
      </c>
      <c r="M40" s="12">
        <f t="shared" si="9"/>
        <v>103.40052548399927</v>
      </c>
      <c r="N40" s="12">
        <f t="shared" si="10"/>
        <v>128.95971842171392</v>
      </c>
      <c r="O40" s="14">
        <f t="shared" si="11"/>
        <v>2.5551298348038896E-2</v>
      </c>
      <c r="P40" s="15">
        <f t="shared" si="3"/>
        <v>2.6473217559239114E-3</v>
      </c>
      <c r="AE40">
        <v>38</v>
      </c>
      <c r="AF40">
        <f t="shared" si="15"/>
        <v>0.21908713017754369</v>
      </c>
      <c r="AG40">
        <v>0</v>
      </c>
      <c r="AH40" s="9">
        <f t="shared" si="13"/>
        <v>0</v>
      </c>
      <c r="AI40">
        <f ca="1"/>
        <v>0</v>
      </c>
      <c r="AJ40" s="9">
        <f t="shared" ca="1" si="14"/>
        <v>0</v>
      </c>
    </row>
    <row r="41" spans="1:36" x14ac:dyDescent="0.3">
      <c r="A41">
        <v>39</v>
      </c>
      <c r="B41" s="3">
        <v>44767</v>
      </c>
      <c r="C41">
        <v>103.44</v>
      </c>
      <c r="D41">
        <v>105.35</v>
      </c>
      <c r="E41">
        <v>101.67</v>
      </c>
      <c r="F41">
        <v>105.15</v>
      </c>
      <c r="G41" s="5">
        <f t="shared" si="6"/>
        <v>8.1295797311473159E-3</v>
      </c>
      <c r="H41" s="5">
        <f t="shared" ca="1" si="7"/>
        <v>-7.6230908964526636</v>
      </c>
      <c r="I41">
        <f t="shared" ca="1" si="0"/>
        <v>109.32864897804349</v>
      </c>
      <c r="J41">
        <f t="shared" ca="1" si="8"/>
        <v>1.0691290444794733E-3</v>
      </c>
      <c r="K41" s="12">
        <f t="shared" si="1"/>
        <v>116.14901026706077</v>
      </c>
      <c r="L41" s="12">
        <f t="shared" si="2"/>
        <v>5.6856318623619916E-2</v>
      </c>
      <c r="M41" s="12">
        <f t="shared" si="9"/>
        <v>103.20555220135904</v>
      </c>
      <c r="N41" s="12">
        <f t="shared" si="10"/>
        <v>129.09246833276251</v>
      </c>
      <c r="O41" s="14">
        <f t="shared" si="11"/>
        <v>2.1370085148805559E-2</v>
      </c>
      <c r="P41" s="15">
        <f t="shared" si="3"/>
        <v>1.8667788642512545E-3</v>
      </c>
      <c r="AE41">
        <v>39</v>
      </c>
      <c r="AF41">
        <f t="shared" si="15"/>
        <v>0.22593947296840111</v>
      </c>
      <c r="AG41">
        <v>0</v>
      </c>
      <c r="AH41" s="9">
        <f t="shared" si="13"/>
        <v>0</v>
      </c>
      <c r="AI41">
        <f ca="1"/>
        <v>0</v>
      </c>
      <c r="AJ41" s="9">
        <f t="shared" ca="1" si="14"/>
        <v>0</v>
      </c>
    </row>
    <row r="42" spans="1:36" x14ac:dyDescent="0.3">
      <c r="A42">
        <v>40</v>
      </c>
      <c r="B42" s="3">
        <v>44768</v>
      </c>
      <c r="C42">
        <v>104.81</v>
      </c>
      <c r="D42">
        <v>107.35</v>
      </c>
      <c r="E42">
        <v>103.98</v>
      </c>
      <c r="F42">
        <v>104.4</v>
      </c>
      <c r="G42" s="5">
        <f t="shared" si="6"/>
        <v>-3.1087783560965611E-3</v>
      </c>
      <c r="H42" s="5">
        <f t="shared" ca="1" si="7"/>
        <v>-7.1356390056026076</v>
      </c>
      <c r="I42">
        <f t="shared" ca="1" si="0"/>
        <v>109.80998066026729</v>
      </c>
      <c r="J42">
        <f t="shared" ca="1" si="8"/>
        <v>4.3929494044910901E-3</v>
      </c>
      <c r="K42" s="12">
        <f t="shared" si="1"/>
        <v>116.11790691261265</v>
      </c>
      <c r="L42" s="12">
        <f t="shared" si="2"/>
        <v>5.7581824063669317E-2</v>
      </c>
      <c r="M42" s="12">
        <f t="shared" si="9"/>
        <v>103.01279637510481</v>
      </c>
      <c r="N42" s="12">
        <f t="shared" si="10"/>
        <v>129.22301745012049</v>
      </c>
      <c r="O42" s="14">
        <f t="shared" si="11"/>
        <v>2.2885366206684129E-2</v>
      </c>
      <c r="P42" s="15">
        <f t="shared" si="3"/>
        <v>2.1343198977295274E-3</v>
      </c>
      <c r="AE42">
        <v>40</v>
      </c>
      <c r="AF42">
        <f t="shared" si="15"/>
        <v>0.23279181575925853</v>
      </c>
      <c r="AG42">
        <v>0</v>
      </c>
      <c r="AH42" s="9">
        <f t="shared" si="13"/>
        <v>0</v>
      </c>
      <c r="AI42">
        <f ca="1"/>
        <v>0</v>
      </c>
      <c r="AJ42" s="9">
        <f t="shared" ca="1" si="14"/>
        <v>0</v>
      </c>
    </row>
    <row r="43" spans="1:36" x14ac:dyDescent="0.3">
      <c r="A43">
        <v>41</v>
      </c>
      <c r="B43" s="3">
        <v>44769</v>
      </c>
      <c r="C43">
        <v>104.78</v>
      </c>
      <c r="D43">
        <v>107.8</v>
      </c>
      <c r="E43">
        <v>103.72</v>
      </c>
      <c r="F43">
        <v>106.62</v>
      </c>
      <c r="G43" s="5">
        <f t="shared" si="6"/>
        <v>9.1381795227018156E-3</v>
      </c>
      <c r="H43" s="5">
        <f t="shared" ca="1" si="7"/>
        <v>-7.2814308846278317</v>
      </c>
      <c r="I43">
        <f t="shared" ca="1" si="0"/>
        <v>109.65990289057714</v>
      </c>
      <c r="J43">
        <f t="shared" ca="1" si="8"/>
        <v>-1.3676390642268566E-3</v>
      </c>
      <c r="K43" s="12">
        <f t="shared" si="1"/>
        <v>116.08681188728121</v>
      </c>
      <c r="L43" s="12">
        <f t="shared" si="2"/>
        <v>5.8298360427969605E-2</v>
      </c>
      <c r="M43" s="12">
        <f t="shared" si="9"/>
        <v>102.8221771186175</v>
      </c>
      <c r="N43" s="12">
        <f t="shared" si="10"/>
        <v>129.35144665594493</v>
      </c>
      <c r="O43" s="14">
        <f t="shared" si="11"/>
        <v>1.8218513366541438E-2</v>
      </c>
      <c r="P43" s="15">
        <f t="shared" si="3"/>
        <v>1.3648743616826709E-3</v>
      </c>
      <c r="AE43">
        <v>41</v>
      </c>
      <c r="AF43">
        <f t="shared" si="15"/>
        <v>0.23964415855011595</v>
      </c>
      <c r="AG43">
        <v>0</v>
      </c>
      <c r="AH43" s="9">
        <f t="shared" si="13"/>
        <v>0</v>
      </c>
      <c r="AI43">
        <f ca="1"/>
        <v>0</v>
      </c>
      <c r="AJ43" s="9">
        <f t="shared" ca="1" si="14"/>
        <v>0</v>
      </c>
    </row>
    <row r="44" spans="1:36" x14ac:dyDescent="0.3">
      <c r="A44">
        <v>42</v>
      </c>
      <c r="B44" s="3">
        <v>44770</v>
      </c>
      <c r="C44">
        <v>107.49</v>
      </c>
      <c r="D44">
        <v>108.98</v>
      </c>
      <c r="E44">
        <v>105.96</v>
      </c>
      <c r="F44">
        <v>107.14</v>
      </c>
      <c r="G44" s="5">
        <f t="shared" si="6"/>
        <v>2.1129638478953926E-3</v>
      </c>
      <c r="H44" s="5">
        <f t="shared" ca="1" si="7"/>
        <v>-9.7348535317654559</v>
      </c>
      <c r="I44">
        <f t="shared" ca="1" si="0"/>
        <v>107.23511260610893</v>
      </c>
      <c r="J44">
        <f t="shared" ca="1" si="8"/>
        <v>-2.2360046451771993E-2</v>
      </c>
      <c r="K44" s="12">
        <f t="shared" si="1"/>
        <v>116.05572518883602</v>
      </c>
      <c r="L44" s="12">
        <f t="shared" si="2"/>
        <v>5.9006254467382536E-2</v>
      </c>
      <c r="M44" s="12">
        <f t="shared" si="9"/>
        <v>102.63361842917344</v>
      </c>
      <c r="N44" s="12">
        <f t="shared" si="10"/>
        <v>129.47783194849862</v>
      </c>
      <c r="O44" s="14">
        <f t="shared" si="11"/>
        <v>1.7101356953474287E-2</v>
      </c>
      <c r="P44" s="15">
        <f t="shared" si="3"/>
        <v>1.2051262002702714E-3</v>
      </c>
      <c r="AE44">
        <v>42</v>
      </c>
      <c r="AF44">
        <f t="shared" si="15"/>
        <v>0.24649650134097337</v>
      </c>
      <c r="AG44">
        <v>0</v>
      </c>
      <c r="AH44" s="9">
        <f t="shared" si="13"/>
        <v>0</v>
      </c>
      <c r="AI44">
        <f ca="1"/>
        <v>0</v>
      </c>
      <c r="AJ44" s="9">
        <f t="shared" ca="1" si="14"/>
        <v>0</v>
      </c>
    </row>
    <row r="45" spans="1:36" x14ac:dyDescent="0.3">
      <c r="A45">
        <v>43</v>
      </c>
      <c r="B45" s="3">
        <v>44771</v>
      </c>
      <c r="C45">
        <v>108.05</v>
      </c>
      <c r="D45">
        <v>110.43</v>
      </c>
      <c r="E45">
        <v>108.03</v>
      </c>
      <c r="F45">
        <v>110.01</v>
      </c>
      <c r="G45" s="5">
        <f t="shared" si="6"/>
        <v>1.1480522643424619E-2</v>
      </c>
      <c r="H45" s="5">
        <f t="shared" ca="1" si="7"/>
        <v>-10.556415484578627</v>
      </c>
      <c r="I45">
        <f t="shared" ca="1" si="0"/>
        <v>106.43225193605419</v>
      </c>
      <c r="J45">
        <f t="shared" ca="1" si="8"/>
        <v>-7.5150872978416335E-3</v>
      </c>
      <c r="K45" s="12">
        <f t="shared" si="1"/>
        <v>116.02464681504719</v>
      </c>
      <c r="L45" s="12">
        <f t="shared" si="2"/>
        <v>5.9705813587187212E-2</v>
      </c>
      <c r="M45" s="12">
        <f t="shared" si="9"/>
        <v>102.44704878390064</v>
      </c>
      <c r="N45" s="12">
        <f t="shared" si="10"/>
        <v>129.60224484619374</v>
      </c>
      <c r="O45" s="14">
        <f t="shared" si="11"/>
        <v>1.1324447022144012E-2</v>
      </c>
      <c r="P45" s="15">
        <f t="shared" si="3"/>
        <v>5.3444610366038437E-4</v>
      </c>
      <c r="AE45">
        <v>43</v>
      </c>
      <c r="AF45">
        <f t="shared" si="15"/>
        <v>0.25334884413183079</v>
      </c>
      <c r="AG45">
        <v>0</v>
      </c>
      <c r="AH45" s="9">
        <f t="shared" si="13"/>
        <v>0</v>
      </c>
      <c r="AI45">
        <f ca="1"/>
        <v>0</v>
      </c>
      <c r="AJ45" s="9">
        <f t="shared" ca="1" si="14"/>
        <v>0</v>
      </c>
    </row>
    <row r="46" spans="1:36" x14ac:dyDescent="0.3">
      <c r="A46">
        <v>44</v>
      </c>
      <c r="B46" s="3">
        <v>44774</v>
      </c>
      <c r="C46">
        <v>103.87</v>
      </c>
      <c r="D46">
        <v>104.37</v>
      </c>
      <c r="E46">
        <v>99.1</v>
      </c>
      <c r="F46">
        <v>100.03</v>
      </c>
      <c r="G46" s="5">
        <f t="shared" si="6"/>
        <v>-4.1301895875038123E-2</v>
      </c>
      <c r="H46" s="5">
        <f t="shared" ca="1" si="7"/>
        <v>-11.553348685474241</v>
      </c>
      <c r="I46">
        <f t="shared" ca="1" si="0"/>
        <v>105.46701178014264</v>
      </c>
      <c r="J46">
        <f t="shared" ca="1" si="8"/>
        <v>-9.1104312041029381E-3</v>
      </c>
      <c r="K46" s="12">
        <f t="shared" si="1"/>
        <v>115.99357676368551</v>
      </c>
      <c r="L46" s="12">
        <f t="shared" si="2"/>
        <v>6.0397327413337538E-2</v>
      </c>
      <c r="M46" s="12">
        <f t="shared" si="9"/>
        <v>102.26240077775029</v>
      </c>
      <c r="N46" s="12">
        <f t="shared" si="10"/>
        <v>129.72475274962071</v>
      </c>
      <c r="O46" s="14">
        <f t="shared" si="11"/>
        <v>3.2149741788846761E-2</v>
      </c>
      <c r="P46" s="15">
        <f t="shared" si="3"/>
        <v>4.1349621923194883E-3</v>
      </c>
      <c r="AE46">
        <v>44</v>
      </c>
      <c r="AF46">
        <f t="shared" si="15"/>
        <v>0.26020118692268818</v>
      </c>
      <c r="AG46">
        <v>0</v>
      </c>
      <c r="AH46" s="9">
        <f t="shared" si="13"/>
        <v>0</v>
      </c>
      <c r="AI46">
        <f ca="1"/>
        <v>0</v>
      </c>
      <c r="AJ46" s="9">
        <f t="shared" ca="1" si="14"/>
        <v>0</v>
      </c>
    </row>
    <row r="47" spans="1:36" x14ac:dyDescent="0.3">
      <c r="A47">
        <v>45</v>
      </c>
      <c r="B47" s="3">
        <v>44775</v>
      </c>
      <c r="C47">
        <v>100</v>
      </c>
      <c r="D47">
        <v>102.41</v>
      </c>
      <c r="E47">
        <v>98.47</v>
      </c>
      <c r="F47">
        <v>100.54</v>
      </c>
      <c r="G47" s="5">
        <f t="shared" si="6"/>
        <v>2.2086120868294048E-3</v>
      </c>
      <c r="H47" s="5">
        <f t="shared" ca="1" si="7"/>
        <v>-12.64192795587695</v>
      </c>
      <c r="I47">
        <f t="shared" ca="1" si="0"/>
        <v>104.42343133390999</v>
      </c>
      <c r="J47">
        <f t="shared" ca="1" si="8"/>
        <v>-9.9441311413480289E-3</v>
      </c>
      <c r="K47" s="12">
        <f t="shared" si="1"/>
        <v>115.96251503252233</v>
      </c>
      <c r="L47" s="12">
        <f t="shared" si="2"/>
        <v>6.1081069199351724E-2</v>
      </c>
      <c r="M47" s="12">
        <f t="shared" si="9"/>
        <v>102.07961079826691</v>
      </c>
      <c r="N47" s="12">
        <f t="shared" si="10"/>
        <v>129.84541926677775</v>
      </c>
      <c r="O47" s="14">
        <f t="shared" si="11"/>
        <v>3.0953174611775689E-2</v>
      </c>
      <c r="P47" s="15">
        <f t="shared" si="3"/>
        <v>3.8413648332872264E-3</v>
      </c>
      <c r="AE47">
        <v>45</v>
      </c>
      <c r="AF47">
        <f t="shared" si="15"/>
        <v>0.26705352971354557</v>
      </c>
      <c r="AG47">
        <v>0</v>
      </c>
      <c r="AH47" s="9">
        <f t="shared" si="13"/>
        <v>0</v>
      </c>
      <c r="AI47">
        <f ca="1"/>
        <v>0</v>
      </c>
      <c r="AJ47" s="9">
        <f t="shared" ca="1" si="14"/>
        <v>0</v>
      </c>
    </row>
    <row r="48" spans="1:36" x14ac:dyDescent="0.3">
      <c r="A48">
        <v>46</v>
      </c>
      <c r="B48" s="3">
        <v>44776</v>
      </c>
      <c r="C48">
        <v>99.64</v>
      </c>
      <c r="D48">
        <v>102.37</v>
      </c>
      <c r="E48">
        <v>96.48</v>
      </c>
      <c r="F48">
        <v>96.78</v>
      </c>
      <c r="G48" s="5">
        <f t="shared" si="6"/>
        <v>-1.6553263119451316E-2</v>
      </c>
      <c r="H48" s="5">
        <f t="shared" ca="1" si="7"/>
        <v>-14.432049734891077</v>
      </c>
      <c r="I48">
        <f t="shared" ca="1" si="0"/>
        <v>102.73245230869891</v>
      </c>
      <c r="J48">
        <f t="shared" ca="1" si="8"/>
        <v>-1.6326029989272392E-2</v>
      </c>
      <c r="K48" s="12">
        <f t="shared" si="1"/>
        <v>115.9314616193296</v>
      </c>
      <c r="L48" s="12">
        <f t="shared" si="2"/>
        <v>6.1757297093241577E-2</v>
      </c>
      <c r="M48" s="12">
        <f t="shared" si="9"/>
        <v>101.8986187326794</v>
      </c>
      <c r="N48" s="12">
        <f t="shared" si="10"/>
        <v>129.96430450597978</v>
      </c>
      <c r="O48" s="14">
        <f t="shared" si="11"/>
        <v>3.9488499082036395E-2</v>
      </c>
      <c r="P48" s="15">
        <f t="shared" si="3"/>
        <v>6.1490209940703641E-3</v>
      </c>
      <c r="AE48">
        <v>46</v>
      </c>
      <c r="AF48">
        <f t="shared" si="15"/>
        <v>0.27390587250440296</v>
      </c>
      <c r="AG48">
        <v>0</v>
      </c>
      <c r="AH48" s="9">
        <f t="shared" si="13"/>
        <v>0</v>
      </c>
      <c r="AI48">
        <f ca="1"/>
        <v>0</v>
      </c>
      <c r="AJ48" s="9">
        <f t="shared" ca="1" si="14"/>
        <v>0</v>
      </c>
    </row>
    <row r="49" spans="1:36" x14ac:dyDescent="0.3">
      <c r="A49">
        <v>47</v>
      </c>
      <c r="B49" s="3">
        <v>44777</v>
      </c>
      <c r="C49">
        <v>97.01</v>
      </c>
      <c r="D49">
        <v>97.63</v>
      </c>
      <c r="E49">
        <v>93.15</v>
      </c>
      <c r="F49">
        <v>94.12</v>
      </c>
      <c r="G49" s="5">
        <f t="shared" si="6"/>
        <v>-1.210369926862148E-2</v>
      </c>
      <c r="H49" s="5">
        <f t="shared" ca="1" si="7"/>
        <v>-13.967991390739957</v>
      </c>
      <c r="I49">
        <f t="shared" ca="1" si="0"/>
        <v>103.16278708560897</v>
      </c>
      <c r="J49">
        <f t="shared" ca="1" si="8"/>
        <v>4.1801394223528821E-3</v>
      </c>
      <c r="K49" s="12">
        <f t="shared" si="1"/>
        <v>115.90041652187983</v>
      </c>
      <c r="L49" s="12">
        <f t="shared" si="2"/>
        <v>6.2426255281121314E-2</v>
      </c>
      <c r="M49" s="12">
        <f t="shared" si="9"/>
        <v>101.71936770347284</v>
      </c>
      <c r="N49" s="12">
        <f t="shared" si="10"/>
        <v>130.08146534028683</v>
      </c>
      <c r="O49" s="14">
        <f t="shared" si="11"/>
        <v>4.5804279493305497E-2</v>
      </c>
      <c r="P49" s="15">
        <f t="shared" si="3"/>
        <v>8.1727165527434864E-3</v>
      </c>
      <c r="AE49">
        <v>47</v>
      </c>
      <c r="AF49">
        <f t="shared" si="15"/>
        <v>0.28075821529526035</v>
      </c>
      <c r="AG49">
        <v>0</v>
      </c>
      <c r="AH49" s="9">
        <f t="shared" si="13"/>
        <v>0</v>
      </c>
      <c r="AI49">
        <f ca="1"/>
        <v>0</v>
      </c>
      <c r="AJ49" s="9">
        <f t="shared" ca="1" si="14"/>
        <v>0</v>
      </c>
    </row>
    <row r="50" spans="1:36" x14ac:dyDescent="0.3">
      <c r="A50">
        <v>48</v>
      </c>
      <c r="B50" s="3">
        <v>44778</v>
      </c>
      <c r="C50">
        <v>93.59</v>
      </c>
      <c r="D50">
        <v>96.4</v>
      </c>
      <c r="E50">
        <v>92.75</v>
      </c>
      <c r="F50">
        <v>94.92</v>
      </c>
      <c r="G50" s="5">
        <f t="shared" si="6"/>
        <v>3.6758110413176947E-3</v>
      </c>
      <c r="H50" s="5">
        <f t="shared" ca="1" si="7"/>
        <v>-13.539439200979515</v>
      </c>
      <c r="I50">
        <f t="shared" ca="1" si="0"/>
        <v>103.56146895765274</v>
      </c>
      <c r="J50">
        <f t="shared" ca="1" si="8"/>
        <v>3.8571416239035544E-3</v>
      </c>
      <c r="K50" s="12">
        <f t="shared" si="1"/>
        <v>115.8693797379462</v>
      </c>
      <c r="L50" s="12">
        <f t="shared" si="2"/>
        <v>6.3088175021846327E-2</v>
      </c>
      <c r="M50" s="12">
        <f t="shared" si="9"/>
        <v>101.54180382912877</v>
      </c>
      <c r="N50" s="12">
        <f t="shared" si="10"/>
        <v>130.19695564676366</v>
      </c>
      <c r="O50" s="14">
        <f t="shared" si="11"/>
        <v>4.3801357388944806E-2</v>
      </c>
      <c r="P50" s="15">
        <f t="shared" si="3"/>
        <v>7.5014571098647887E-3</v>
      </c>
      <c r="AE50">
        <v>48</v>
      </c>
      <c r="AF50">
        <f t="shared" si="15"/>
        <v>0.28761055808611774</v>
      </c>
      <c r="AG50">
        <v>0</v>
      </c>
      <c r="AH50" s="9">
        <f t="shared" si="13"/>
        <v>0</v>
      </c>
      <c r="AI50">
        <f ca="1"/>
        <v>0</v>
      </c>
      <c r="AJ50" s="9">
        <f t="shared" ca="1" si="14"/>
        <v>0</v>
      </c>
    </row>
    <row r="51" spans="1:36" x14ac:dyDescent="0.3">
      <c r="A51">
        <v>49</v>
      </c>
      <c r="B51" s="3">
        <v>44781</v>
      </c>
      <c r="C51">
        <v>94.27</v>
      </c>
      <c r="D51">
        <v>96.73</v>
      </c>
      <c r="E51">
        <v>92.99</v>
      </c>
      <c r="F51">
        <v>96.65</v>
      </c>
      <c r="G51" s="5">
        <f t="shared" si="6"/>
        <v>7.8441288192704749E-3</v>
      </c>
      <c r="H51" s="5">
        <f t="shared" ca="1" si="7"/>
        <v>-12.802733118182369</v>
      </c>
      <c r="I51">
        <f t="shared" ca="1" si="0"/>
        <v>104.25353222153356</v>
      </c>
      <c r="J51">
        <f t="shared" ca="1" si="8"/>
        <v>6.6604029385269785E-3</v>
      </c>
      <c r="K51" s="12">
        <f t="shared" si="1"/>
        <v>115.83835126530244</v>
      </c>
      <c r="L51" s="12">
        <f t="shared" si="2"/>
        <v>6.374327558513268E-2</v>
      </c>
      <c r="M51" s="12">
        <f t="shared" si="9"/>
        <v>101.36587600716055</v>
      </c>
      <c r="N51" s="12">
        <f t="shared" si="10"/>
        <v>130.31082652344435</v>
      </c>
      <c r="O51" s="14">
        <f t="shared" si="11"/>
        <v>3.9618393897743256E-2</v>
      </c>
      <c r="P51" s="15">
        <f t="shared" si="3"/>
        <v>6.1859025960381061E-3</v>
      </c>
      <c r="AE51">
        <v>49</v>
      </c>
      <c r="AF51">
        <f t="shared" si="15"/>
        <v>0.29446290087697513</v>
      </c>
      <c r="AG51">
        <v>0</v>
      </c>
      <c r="AH51" s="9">
        <f t="shared" si="13"/>
        <v>0</v>
      </c>
      <c r="AI51">
        <f ca="1"/>
        <v>0</v>
      </c>
      <c r="AJ51" s="9">
        <f t="shared" ca="1" si="14"/>
        <v>0</v>
      </c>
    </row>
    <row r="52" spans="1:36" x14ac:dyDescent="0.3">
      <c r="A52">
        <v>50</v>
      </c>
      <c r="B52" s="3">
        <v>44782</v>
      </c>
      <c r="C52">
        <v>96.54</v>
      </c>
      <c r="D52">
        <v>98.39</v>
      </c>
      <c r="E52">
        <v>94.91</v>
      </c>
      <c r="F52">
        <v>96.31</v>
      </c>
      <c r="G52" s="5">
        <f t="shared" si="6"/>
        <v>-1.5304755043752713E-3</v>
      </c>
      <c r="H52" s="5">
        <f t="shared" ca="1" si="7"/>
        <v>-12.24096507841136</v>
      </c>
      <c r="I52">
        <f t="shared" ca="1" si="0"/>
        <v>104.78333501436963</v>
      </c>
      <c r="J52">
        <f t="shared" ca="1" si="8"/>
        <v>5.068999878067402E-3</v>
      </c>
      <c r="K52" s="12">
        <f t="shared" si="1"/>
        <v>115.80733110172287</v>
      </c>
      <c r="L52" s="12">
        <f t="shared" si="2"/>
        <v>6.4391765103915061E-2</v>
      </c>
      <c r="M52" s="12">
        <f t="shared" si="9"/>
        <v>101.19153571696049</v>
      </c>
      <c r="N52" s="12">
        <f t="shared" si="10"/>
        <v>130.42312648648524</v>
      </c>
      <c r="O52" s="14">
        <f t="shared" si="11"/>
        <v>4.036186174800574E-2</v>
      </c>
      <c r="P52" s="15">
        <f t="shared" si="3"/>
        <v>6.41035139957951E-3</v>
      </c>
      <c r="AE52">
        <v>50</v>
      </c>
      <c r="AF52">
        <f t="shared" si="15"/>
        <v>0.30131524366783252</v>
      </c>
      <c r="AG52">
        <v>0</v>
      </c>
      <c r="AH52" s="9">
        <f t="shared" si="13"/>
        <v>0</v>
      </c>
      <c r="AI52">
        <f ca="1"/>
        <v>0</v>
      </c>
      <c r="AJ52" s="9">
        <f t="shared" ca="1" si="14"/>
        <v>0</v>
      </c>
    </row>
    <row r="53" spans="1:36" x14ac:dyDescent="0.3">
      <c r="A53">
        <v>51</v>
      </c>
      <c r="B53" s="3">
        <v>44783</v>
      </c>
      <c r="C53">
        <v>96.46</v>
      </c>
      <c r="D53">
        <v>97.98</v>
      </c>
      <c r="E53">
        <v>93.61</v>
      </c>
      <c r="F53">
        <v>97.4</v>
      </c>
      <c r="G53" s="5">
        <f t="shared" si="6"/>
        <v>4.8875740184190011E-3</v>
      </c>
      <c r="H53" s="5">
        <f t="shared" ca="1" si="7"/>
        <v>-10.386599383235993</v>
      </c>
      <c r="I53">
        <f t="shared" ca="1" si="0"/>
        <v>106.56151686129405</v>
      </c>
      <c r="J53">
        <f t="shared" ca="1" si="8"/>
        <v>1.6827699296271977E-2</v>
      </c>
      <c r="K53" s="12">
        <f t="shared" si="1"/>
        <v>115.77631924498242</v>
      </c>
      <c r="L53" s="12">
        <f t="shared" si="2"/>
        <v>6.5033841350355767E-2</v>
      </c>
      <c r="M53" s="12">
        <f t="shared" si="9"/>
        <v>101.01873684028601</v>
      </c>
      <c r="N53" s="12">
        <f t="shared" si="10"/>
        <v>130.53390164967882</v>
      </c>
      <c r="O53" s="14">
        <f t="shared" si="11"/>
        <v>3.7746319385352479E-2</v>
      </c>
      <c r="P53" s="15">
        <f t="shared" si="3"/>
        <v>5.6341209198326392E-3</v>
      </c>
      <c r="AF53" s="10" t="s">
        <v>11</v>
      </c>
      <c r="AG53">
        <f>SUM(AG2:AG52)</f>
        <v>502</v>
      </c>
      <c r="AI53">
        <f ca="1">SUM(AI2:AI52)</f>
        <v>502</v>
      </c>
    </row>
    <row r="54" spans="1:36" x14ac:dyDescent="0.3">
      <c r="A54">
        <v>52</v>
      </c>
      <c r="B54" s="3">
        <v>44784</v>
      </c>
      <c r="C54">
        <v>97.27</v>
      </c>
      <c r="D54">
        <v>100.16</v>
      </c>
      <c r="E54">
        <v>96.65</v>
      </c>
      <c r="F54">
        <v>99.6</v>
      </c>
      <c r="G54" s="5">
        <f t="shared" si="6"/>
        <v>9.700381545083181E-3</v>
      </c>
      <c r="H54" s="5">
        <f t="shared" ca="1" si="7"/>
        <v>-11.78074355278099</v>
      </c>
      <c r="I54">
        <f t="shared" ca="1" si="0"/>
        <v>105.21423459606724</v>
      </c>
      <c r="J54">
        <f t="shared" ca="1" si="8"/>
        <v>-1.2723840501600685E-2</v>
      </c>
      <c r="K54" s="12">
        <f t="shared" si="1"/>
        <v>115.74531569285662</v>
      </c>
      <c r="L54" s="12">
        <f t="shared" si="2"/>
        <v>6.5669692443681232E-2</v>
      </c>
      <c r="M54" s="12">
        <f t="shared" si="9"/>
        <v>100.84743549749712</v>
      </c>
      <c r="N54" s="12">
        <f t="shared" si="10"/>
        <v>130.64319588821613</v>
      </c>
      <c r="O54" s="14">
        <f t="shared" si="11"/>
        <v>3.2650459385422562E-2</v>
      </c>
      <c r="P54" s="15">
        <f t="shared" si="3"/>
        <v>4.2567906758649741E-3</v>
      </c>
    </row>
    <row r="55" spans="1:36" x14ac:dyDescent="0.3">
      <c r="A55">
        <v>53</v>
      </c>
      <c r="B55" s="3">
        <v>44785</v>
      </c>
      <c r="C55">
        <v>99.29</v>
      </c>
      <c r="D55">
        <v>100.35</v>
      </c>
      <c r="E55">
        <v>96.94</v>
      </c>
      <c r="F55">
        <v>98.15</v>
      </c>
      <c r="G55" s="5">
        <f t="shared" si="6"/>
        <v>-6.369034487673654E-3</v>
      </c>
      <c r="H55" s="5">
        <f t="shared" ca="1" si="7"/>
        <v>-12.714910496019758</v>
      </c>
      <c r="I55">
        <f t="shared" ca="1" si="0"/>
        <v>104.31958827877497</v>
      </c>
      <c r="J55">
        <f t="shared" ca="1" si="8"/>
        <v>-8.539449542248008E-3</v>
      </c>
      <c r="K55" s="12">
        <f t="shared" si="1"/>
        <v>115.71432044312161</v>
      </c>
      <c r="L55" s="12">
        <f t="shared" si="2"/>
        <v>6.6299497497039658E-2</v>
      </c>
      <c r="M55" s="12">
        <f t="shared" si="9"/>
        <v>100.67758989788446</v>
      </c>
      <c r="N55" s="12">
        <f t="shared" si="10"/>
        <v>130.75105098835877</v>
      </c>
      <c r="O55" s="14">
        <f t="shared" si="11"/>
        <v>3.5893947136558094E-2</v>
      </c>
      <c r="P55" s="15">
        <f t="shared" si="3"/>
        <v>5.1117931640025215E-3</v>
      </c>
    </row>
    <row r="56" spans="1:36" x14ac:dyDescent="0.3">
      <c r="A56">
        <v>54</v>
      </c>
      <c r="B56" s="3">
        <v>44788</v>
      </c>
      <c r="C56">
        <v>97.76</v>
      </c>
      <c r="D56">
        <v>98.04</v>
      </c>
      <c r="E56">
        <v>92.72</v>
      </c>
      <c r="F56">
        <v>95.1</v>
      </c>
      <c r="G56" s="5">
        <f t="shared" si="6"/>
        <v>-1.370978699861115E-2</v>
      </c>
      <c r="H56" s="5">
        <f t="shared" ca="1" si="7"/>
        <v>-14.267335312809212</v>
      </c>
      <c r="I56">
        <f t="shared" ca="1" si="0"/>
        <v>102.85245025896781</v>
      </c>
      <c r="J56">
        <f t="shared" ca="1" si="8"/>
        <v>-1.4163712024564368E-2</v>
      </c>
      <c r="K56" s="12">
        <f t="shared" si="1"/>
        <v>115.68333349355406</v>
      </c>
      <c r="L56" s="12">
        <f t="shared" si="2"/>
        <v>6.692342720967899E-2</v>
      </c>
      <c r="M56" s="12">
        <f t="shared" si="9"/>
        <v>100.50916020263344</v>
      </c>
      <c r="N56" s="12">
        <f t="shared" si="10"/>
        <v>130.85750678447468</v>
      </c>
      <c r="O56" s="14">
        <f t="shared" si="11"/>
        <v>4.3014414991071018E-2</v>
      </c>
      <c r="P56" s="15">
        <f t="shared" si="3"/>
        <v>7.2403553561355537E-3</v>
      </c>
    </row>
    <row r="57" spans="1:36" x14ac:dyDescent="0.3">
      <c r="A57">
        <v>55</v>
      </c>
      <c r="B57" s="3">
        <v>44789</v>
      </c>
      <c r="C57">
        <v>93.64</v>
      </c>
      <c r="D57">
        <v>95.95</v>
      </c>
      <c r="E57">
        <v>91.72</v>
      </c>
      <c r="F57">
        <v>92.34</v>
      </c>
      <c r="G57" s="5">
        <f t="shared" si="6"/>
        <v>-1.2790646722291528E-2</v>
      </c>
      <c r="H57" s="5">
        <f t="shared" ca="1" si="7"/>
        <v>-13.558884793875883</v>
      </c>
      <c r="I57">
        <f t="shared" ca="1" si="0"/>
        <v>103.51316501709168</v>
      </c>
      <c r="J57">
        <f t="shared" ca="1" si="8"/>
        <v>6.403363417391208E-3</v>
      </c>
      <c r="K57" s="12">
        <f t="shared" si="1"/>
        <v>115.65235484193133</v>
      </c>
      <c r="L57" s="12">
        <f t="shared" si="2"/>
        <v>6.7541644409987153E-2</v>
      </c>
      <c r="M57" s="12">
        <f t="shared" si="9"/>
        <v>100.34210839914502</v>
      </c>
      <c r="N57" s="12">
        <f t="shared" si="10"/>
        <v>130.96260128471764</v>
      </c>
      <c r="O57" s="14">
        <f t="shared" si="11"/>
        <v>4.9743112702250604E-2</v>
      </c>
      <c r="P57" s="15">
        <f t="shared" si="3"/>
        <v>9.5579189328604108E-3</v>
      </c>
    </row>
    <row r="58" spans="1:36" x14ac:dyDescent="0.3">
      <c r="A58">
        <v>56</v>
      </c>
      <c r="B58" s="3">
        <v>44790</v>
      </c>
      <c r="C58">
        <v>92.77</v>
      </c>
      <c r="D58">
        <v>94.46</v>
      </c>
      <c r="E58">
        <v>91.52</v>
      </c>
      <c r="F58">
        <v>93.65</v>
      </c>
      <c r="G58" s="5">
        <f t="shared" si="6"/>
        <v>6.1179114961338356E-3</v>
      </c>
      <c r="H58" s="5">
        <f t="shared" ca="1" si="7"/>
        <v>-14.463546314207548</v>
      </c>
      <c r="I58">
        <f t="shared" ca="1" si="0"/>
        <v>102.66053440871923</v>
      </c>
      <c r="J58">
        <f t="shared" ca="1" si="8"/>
        <v>-8.2710401128164874E-3</v>
      </c>
      <c r="K58" s="12">
        <f t="shared" si="1"/>
        <v>115.62138448603129</v>
      </c>
      <c r="L58" s="12">
        <f t="shared" si="2"/>
        <v>6.8154304554273654E-2</v>
      </c>
      <c r="M58" s="12">
        <f t="shared" si="9"/>
        <v>100.1763981855857</v>
      </c>
      <c r="N58" s="12">
        <f t="shared" si="10"/>
        <v>131.06637078647685</v>
      </c>
      <c r="O58" s="14">
        <f t="shared" si="11"/>
        <v>4.6426590137663447E-2</v>
      </c>
      <c r="P58" s="15">
        <f t="shared" si="3"/>
        <v>8.377811146625563E-3</v>
      </c>
    </row>
    <row r="59" spans="1:36" x14ac:dyDescent="0.3">
      <c r="A59">
        <v>57</v>
      </c>
      <c r="B59" s="3">
        <v>44791</v>
      </c>
      <c r="C59">
        <v>93.18</v>
      </c>
      <c r="D59">
        <v>97.41</v>
      </c>
      <c r="E59">
        <v>93.05</v>
      </c>
      <c r="F59">
        <v>96.59</v>
      </c>
      <c r="G59" s="5">
        <f t="shared" si="6"/>
        <v>1.342438435615591E-2</v>
      </c>
      <c r="H59" s="5">
        <f t="shared" ca="1" si="7"/>
        <v>-16.822156121503994</v>
      </c>
      <c r="I59">
        <f t="shared" ca="1" si="0"/>
        <v>100.47713851715957</v>
      </c>
      <c r="J59">
        <f t="shared" ca="1" si="8"/>
        <v>-2.1497538555353135E-2</v>
      </c>
      <c r="K59" s="12">
        <f t="shared" si="1"/>
        <v>115.59042242363246</v>
      </c>
      <c r="L59" s="12">
        <f t="shared" si="2"/>
        <v>6.8761556185657699E-2</v>
      </c>
      <c r="M59" s="12">
        <f t="shared" si="9"/>
        <v>100.0119948646597</v>
      </c>
      <c r="N59" s="12">
        <f t="shared" si="10"/>
        <v>131.16884998260522</v>
      </c>
      <c r="O59" s="14">
        <f t="shared" si="11"/>
        <v>3.9290856445721903E-2</v>
      </c>
      <c r="P59" s="15">
        <f t="shared" si="3"/>
        <v>6.0823909338698088E-3</v>
      </c>
    </row>
    <row r="60" spans="1:36" x14ac:dyDescent="0.3">
      <c r="A60">
        <v>58</v>
      </c>
      <c r="B60" s="3">
        <v>44792</v>
      </c>
      <c r="C60">
        <v>96.63</v>
      </c>
      <c r="D60">
        <v>97.87</v>
      </c>
      <c r="E60">
        <v>94.25</v>
      </c>
      <c r="F60">
        <v>96.72</v>
      </c>
      <c r="G60" s="5">
        <f t="shared" si="6"/>
        <v>5.8412178530337186E-4</v>
      </c>
      <c r="H60" s="5">
        <f t="shared" ca="1" si="7"/>
        <v>-16.103174125181944</v>
      </c>
      <c r="I60">
        <f t="shared" ca="1" si="0"/>
        <v>101.13228293776942</v>
      </c>
      <c r="J60">
        <f t="shared" ca="1" si="8"/>
        <v>6.4991677665061495E-3</v>
      </c>
      <c r="K60" s="12">
        <f t="shared" si="1"/>
        <v>115.55946865251394</v>
      </c>
      <c r="L60" s="12">
        <f t="shared" si="2"/>
        <v>6.9363541356856004E-2</v>
      </c>
      <c r="M60" s="12">
        <f t="shared" si="9"/>
        <v>99.84886524572623</v>
      </c>
      <c r="N60" s="12">
        <f t="shared" si="10"/>
        <v>131.27007205930167</v>
      </c>
      <c r="O60" s="14">
        <f t="shared" si="11"/>
        <v>3.8926524497372612E-2</v>
      </c>
      <c r="P60" s="15">
        <f t="shared" si="3"/>
        <v>5.9736279211786963E-3</v>
      </c>
    </row>
    <row r="61" spans="1:36" x14ac:dyDescent="0.3">
      <c r="A61">
        <v>59</v>
      </c>
      <c r="B61" s="3">
        <v>44795</v>
      </c>
      <c r="C61">
        <v>95.66</v>
      </c>
      <c r="D61">
        <v>97.25</v>
      </c>
      <c r="E61">
        <v>92.36</v>
      </c>
      <c r="F61">
        <v>96.48</v>
      </c>
      <c r="G61" s="5">
        <f t="shared" si="6"/>
        <v>-1.0789930566393441E-3</v>
      </c>
      <c r="H61" s="5">
        <f t="shared" ca="1" si="7"/>
        <v>-15.306268788024184</v>
      </c>
      <c r="I61">
        <f t="shared" ca="1" si="0"/>
        <v>101.8638812643169</v>
      </c>
      <c r="J61">
        <f t="shared" ca="1" si="8"/>
        <v>7.2080326934371008E-3</v>
      </c>
      <c r="K61" s="12">
        <f t="shared" si="1"/>
        <v>115.52852317045543</v>
      </c>
      <c r="L61" s="12">
        <f t="shared" si="2"/>
        <v>6.9960396020314133E-2</v>
      </c>
      <c r="M61" s="12">
        <f t="shared" si="9"/>
        <v>99.68697755446712</v>
      </c>
      <c r="N61" s="12">
        <f t="shared" si="10"/>
        <v>131.37006878644374</v>
      </c>
      <c r="O61" s="14">
        <f t="shared" si="11"/>
        <v>3.9432803996256136E-2</v>
      </c>
      <c r="P61" s="15">
        <f t="shared" si="3"/>
        <v>6.1233640617716668E-3</v>
      </c>
    </row>
    <row r="62" spans="1:36" x14ac:dyDescent="0.3">
      <c r="A62">
        <v>60</v>
      </c>
      <c r="B62" s="3">
        <v>44796</v>
      </c>
      <c r="C62">
        <v>96.58</v>
      </c>
      <c r="D62">
        <v>100.45</v>
      </c>
      <c r="E62">
        <v>96.51</v>
      </c>
      <c r="F62">
        <v>100.22</v>
      </c>
      <c r="G62" s="5">
        <f t="shared" si="6"/>
        <v>1.6517103610381785E-2</v>
      </c>
      <c r="H62" s="5">
        <f t="shared" ca="1" si="7"/>
        <v>-16.856150412396872</v>
      </c>
      <c r="I62">
        <f t="shared" ca="1" si="0"/>
        <v>100.43360354443334</v>
      </c>
      <c r="J62">
        <f t="shared" ca="1" si="8"/>
        <v>-1.4140576724058183E-2</v>
      </c>
      <c r="K62" s="12">
        <f t="shared" si="1"/>
        <v>115.49758597523717</v>
      </c>
      <c r="L62" s="12">
        <f t="shared" si="2"/>
        <v>7.0552250388683041E-2</v>
      </c>
      <c r="M62" s="12">
        <f t="shared" si="9"/>
        <v>99.526301349410943</v>
      </c>
      <c r="N62" s="12">
        <f t="shared" si="10"/>
        <v>131.4688706010634</v>
      </c>
      <c r="O62" s="14">
        <f t="shared" si="11"/>
        <v>3.0794559206411196E-2</v>
      </c>
      <c r="P62" s="15">
        <f t="shared" si="3"/>
        <v>3.7968406133098132E-3</v>
      </c>
    </row>
    <row r="63" spans="1:36" x14ac:dyDescent="0.3">
      <c r="A63">
        <v>61</v>
      </c>
      <c r="B63" s="3">
        <v>44797</v>
      </c>
      <c r="C63">
        <v>100.16</v>
      </c>
      <c r="D63">
        <v>102</v>
      </c>
      <c r="E63">
        <v>99.07</v>
      </c>
      <c r="F63">
        <v>101.22</v>
      </c>
      <c r="G63" s="5">
        <f t="shared" si="6"/>
        <v>4.3119345663109364E-3</v>
      </c>
      <c r="H63" s="5">
        <f t="shared" ca="1" si="7"/>
        <v>-16.321689926342977</v>
      </c>
      <c r="I63">
        <f t="shared" ca="1" si="0"/>
        <v>100.91892102001269</v>
      </c>
      <c r="J63">
        <f t="shared" ca="1" si="8"/>
        <v>4.8205843601657299E-3</v>
      </c>
      <c r="K63" s="12">
        <f t="shared" si="1"/>
        <v>115.4666570646401</v>
      </c>
      <c r="L63" s="12">
        <f t="shared" si="2"/>
        <v>7.1139229268375792E-2</v>
      </c>
      <c r="M63" s="12">
        <f t="shared" si="9"/>
        <v>99.366807444682365</v>
      </c>
      <c r="N63" s="12">
        <f t="shared" si="10"/>
        <v>131.56650668459784</v>
      </c>
      <c r="O63" s="14">
        <f t="shared" si="11"/>
        <v>2.8520031776949274E-2</v>
      </c>
      <c r="P63" s="15">
        <f t="shared" si="3"/>
        <v>3.2707257859814686E-3</v>
      </c>
    </row>
    <row r="64" spans="1:36" x14ac:dyDescent="0.3">
      <c r="A64">
        <v>62</v>
      </c>
      <c r="B64" s="3">
        <v>44798</v>
      </c>
      <c r="C64">
        <v>101.6</v>
      </c>
      <c r="D64">
        <v>102.47</v>
      </c>
      <c r="E64">
        <v>99.12</v>
      </c>
      <c r="F64">
        <v>99.34</v>
      </c>
      <c r="G64" s="5">
        <f t="shared" si="6"/>
        <v>-8.1421773135642809E-3</v>
      </c>
      <c r="H64" s="5">
        <f t="shared" ca="1" si="7"/>
        <v>-17.787746354478188</v>
      </c>
      <c r="I64">
        <f t="shared" ca="1" si="0"/>
        <v>99.577816051710641</v>
      </c>
      <c r="J64">
        <f t="shared" ca="1" si="8"/>
        <v>-1.3378022899124894E-2</v>
      </c>
      <c r="K64" s="12">
        <f t="shared" si="1"/>
        <v>115.43573643644567</v>
      </c>
      <c r="L64" s="12">
        <f t="shared" si="2"/>
        <v>7.1721452368604888E-2</v>
      </c>
      <c r="M64" s="12">
        <f t="shared" si="9"/>
        <v>99.208467838421384</v>
      </c>
      <c r="N64" s="12">
        <f t="shared" si="10"/>
        <v>131.66300503446996</v>
      </c>
      <c r="O64" s="14">
        <f t="shared" si="11"/>
        <v>3.2655016504245113E-2</v>
      </c>
      <c r="P64" s="15">
        <f t="shared" si="3"/>
        <v>4.2531426031631589E-3</v>
      </c>
    </row>
    <row r="65" spans="1:16" x14ac:dyDescent="0.3">
      <c r="A65">
        <v>63</v>
      </c>
      <c r="B65" s="3">
        <v>44799</v>
      </c>
      <c r="C65">
        <v>99.88</v>
      </c>
      <c r="D65">
        <v>101.17</v>
      </c>
      <c r="E65">
        <v>98.14</v>
      </c>
      <c r="F65">
        <v>100.99</v>
      </c>
      <c r="G65" s="5">
        <f t="shared" si="6"/>
        <v>7.1542165409578693E-3</v>
      </c>
      <c r="H65" s="5">
        <f t="shared" ca="1" si="7"/>
        <v>-18.738880093235867</v>
      </c>
      <c r="I65">
        <f t="shared" ca="1" si="0"/>
        <v>98.715859132950442</v>
      </c>
      <c r="J65">
        <f t="shared" ca="1" si="8"/>
        <v>-8.6937956744438799E-3</v>
      </c>
      <c r="K65" s="12">
        <f t="shared" si="1"/>
        <v>115.40482408843593</v>
      </c>
      <c r="L65" s="12">
        <f t="shared" si="2"/>
        <v>7.2299034588075684E-2</v>
      </c>
      <c r="M65" s="12">
        <f t="shared" si="9"/>
        <v>99.051255646370706</v>
      </c>
      <c r="N65" s="12">
        <f t="shared" si="10"/>
        <v>131.75839253050114</v>
      </c>
      <c r="O65" s="14">
        <f t="shared" si="11"/>
        <v>2.8910949666335544E-2</v>
      </c>
      <c r="P65" s="15">
        <f t="shared" si="3"/>
        <v>3.3576915321009266E-3</v>
      </c>
    </row>
    <row r="66" spans="1:16" x14ac:dyDescent="0.3">
      <c r="A66">
        <v>64</v>
      </c>
      <c r="B66" s="3">
        <v>44802</v>
      </c>
      <c r="C66">
        <v>100.83</v>
      </c>
      <c r="D66">
        <v>105.48</v>
      </c>
      <c r="E66">
        <v>100.29</v>
      </c>
      <c r="F66">
        <v>105.09</v>
      </c>
      <c r="G66" s="5">
        <f t="shared" si="6"/>
        <v>1.7283019837192475E-2</v>
      </c>
      <c r="H66" s="5">
        <f t="shared" ca="1" si="7"/>
        <v>-16.320524407258119</v>
      </c>
      <c r="I66">
        <f t="shared" ref="I66:I129" ca="1" si="16">F$2*EXP((Mu-(0.5*(sigma^2))*A66)+sigma*H66)</f>
        <v>100.9074644316038</v>
      </c>
      <c r="J66">
        <f t="shared" ca="1" si="8"/>
        <v>2.1958289429244462E-2</v>
      </c>
      <c r="K66" s="12">
        <f t="shared" ref="K66:K129" si="17">($I$2*EXP(Mu*A66))</f>
        <v>115.37392001839356</v>
      </c>
      <c r="L66" s="12">
        <f t="shared" ref="L66:L129" si="18">SQRT(EXP((sigma^2)*A66)-1)</f>
        <v>7.2872086281270773E-2</v>
      </c>
      <c r="M66" s="12">
        <f t="shared" si="9"/>
        <v>98.895145040183493</v>
      </c>
      <c r="N66" s="12">
        <f t="shared" si="10"/>
        <v>131.85269499660365</v>
      </c>
      <c r="O66" s="14">
        <f t="shared" si="11"/>
        <v>2.005690100305705E-2</v>
      </c>
      <c r="P66" s="15">
        <f t="shared" ref="P66:P129" si="19">(LOG10(F66)-LOG10(K66))^2</f>
        <v>1.6439989333307066E-3</v>
      </c>
    </row>
    <row r="67" spans="1:16" x14ac:dyDescent="0.3">
      <c r="A67">
        <v>65</v>
      </c>
      <c r="B67" s="3">
        <v>44803</v>
      </c>
      <c r="C67">
        <v>105</v>
      </c>
      <c r="D67">
        <v>105.37</v>
      </c>
      <c r="E67">
        <v>97.67</v>
      </c>
      <c r="F67">
        <v>99.31</v>
      </c>
      <c r="G67" s="5">
        <f t="shared" ref="G67:G130" si="20">IFERROR(LOG10(F67/F66),0)</f>
        <v>-2.456841014664916E-2</v>
      </c>
      <c r="H67" s="5">
        <f t="shared" ref="H67:H130" ca="1" si="21">H66+(SQRT(DeltaT)*_xlfn.NORM.S.INV(RAND()))</f>
        <v>-15.731903771254922</v>
      </c>
      <c r="I67">
        <f t="shared" ca="1" si="16"/>
        <v>101.44504058887156</v>
      </c>
      <c r="J67">
        <f t="shared" ref="J67:J130" ca="1" si="22">IFERROR(LN(I67/I66),0)</f>
        <v>5.3132766693587971E-3</v>
      </c>
      <c r="K67" s="12">
        <f t="shared" si="17"/>
        <v>115.34302422410182</v>
      </c>
      <c r="L67" s="12">
        <f t="shared" si="18"/>
        <v>7.3440713506090549E-2</v>
      </c>
      <c r="M67" s="12">
        <f t="shared" ref="M67:M130" si="23">(1-1.96*L67)*K67</f>
        <v>98.740111190043905</v>
      </c>
      <c r="N67" s="12">
        <f t="shared" ref="N67:N130" si="24">(1+1.96*L67)*K67</f>
        <v>131.94593725815972</v>
      </c>
      <c r="O67" s="14">
        <f t="shared" ref="O67:O130" si="25">ABS((LOG10(F67)-LOG10(K67))/LOG10(F67))</f>
        <v>3.2548112517495877E-2</v>
      </c>
      <c r="P67" s="15">
        <f t="shared" si="19"/>
        <v>4.2247857979746889E-3</v>
      </c>
    </row>
    <row r="68" spans="1:16" x14ac:dyDescent="0.3">
      <c r="A68">
        <v>66</v>
      </c>
      <c r="B68" s="3">
        <v>44804</v>
      </c>
      <c r="C68">
        <v>99.71</v>
      </c>
      <c r="D68">
        <v>100.3</v>
      </c>
      <c r="E68">
        <v>95.76</v>
      </c>
      <c r="F68">
        <v>96.49</v>
      </c>
      <c r="G68" s="5">
        <f t="shared" si="20"/>
        <v>-1.2510675488443E-2</v>
      </c>
      <c r="H68" s="5">
        <f t="shared" ca="1" si="21"/>
        <v>-17.052139652487639</v>
      </c>
      <c r="I68">
        <f t="shared" ca="1" si="16"/>
        <v>100.22981301597108</v>
      </c>
      <c r="J68">
        <f t="shared" ca="1" si="22"/>
        <v>-1.2051500316590571E-2</v>
      </c>
      <c r="K68" s="12">
        <f t="shared" si="17"/>
        <v>115.31213670334456</v>
      </c>
      <c r="L68" s="12">
        <f t="shared" si="18"/>
        <v>7.4005018254396968E-2</v>
      </c>
      <c r="M68" s="12">
        <f t="shared" si="23"/>
        <v>98.586130211242875</v>
      </c>
      <c r="N68" s="12">
        <f t="shared" si="24"/>
        <v>132.03814319544625</v>
      </c>
      <c r="O68" s="14">
        <f t="shared" si="25"/>
        <v>3.899894341354098E-2</v>
      </c>
      <c r="P68" s="15">
        <f t="shared" si="19"/>
        <v>5.9896320522093895E-3</v>
      </c>
    </row>
    <row r="69" spans="1:16" x14ac:dyDescent="0.3">
      <c r="A69">
        <v>67</v>
      </c>
      <c r="B69" s="3">
        <v>44805</v>
      </c>
      <c r="C69">
        <v>94.78</v>
      </c>
      <c r="D69">
        <v>95.66</v>
      </c>
      <c r="E69">
        <v>91.81</v>
      </c>
      <c r="F69">
        <v>92.36</v>
      </c>
      <c r="G69" s="5">
        <f t="shared" si="20"/>
        <v>-1.8998382157123992E-2</v>
      </c>
      <c r="H69" s="5">
        <f t="shared" ca="1" si="21"/>
        <v>-17.259393107854955</v>
      </c>
      <c r="I69">
        <f t="shared" ca="1" si="16"/>
        <v>100.03688093886946</v>
      </c>
      <c r="J69">
        <f t="shared" ca="1" si="22"/>
        <v>-1.9267521021888217E-3</v>
      </c>
      <c r="K69" s="12">
        <f t="shared" si="17"/>
        <v>115.28125745390622</v>
      </c>
      <c r="L69" s="12">
        <f t="shared" si="18"/>
        <v>7.4565098666902002E-2</v>
      </c>
      <c r="M69" s="12">
        <f t="shared" si="23"/>
        <v>98.433179114375932</v>
      </c>
      <c r="N69" s="12">
        <f t="shared" si="24"/>
        <v>132.12933579343652</v>
      </c>
      <c r="O69" s="14">
        <f t="shared" si="25"/>
        <v>4.8982736289506001E-2</v>
      </c>
      <c r="P69" s="15">
        <f t="shared" si="19"/>
        <v>9.2688334070285816E-3</v>
      </c>
    </row>
    <row r="70" spans="1:16" x14ac:dyDescent="0.3">
      <c r="A70">
        <v>68</v>
      </c>
      <c r="B70" s="3">
        <v>44806</v>
      </c>
      <c r="C70">
        <v>92</v>
      </c>
      <c r="D70">
        <v>95.32</v>
      </c>
      <c r="E70">
        <v>92</v>
      </c>
      <c r="F70">
        <v>93.02</v>
      </c>
      <c r="G70" s="5">
        <f t="shared" si="20"/>
        <v>3.0924109303589096E-3</v>
      </c>
      <c r="H70" s="5">
        <f t="shared" ca="1" si="21"/>
        <v>-18.21170207862837</v>
      </c>
      <c r="I70">
        <f t="shared" ca="1" si="16"/>
        <v>99.169890068238544</v>
      </c>
      <c r="J70">
        <f t="shared" ca="1" si="22"/>
        <v>-8.7044867042178273E-3</v>
      </c>
      <c r="K70" s="12">
        <f t="shared" si="17"/>
        <v>115.25038647357184</v>
      </c>
      <c r="L70" s="12">
        <f t="shared" si="18"/>
        <v>7.5121049233664222E-2</v>
      </c>
      <c r="M70" s="12">
        <f t="shared" si="23"/>
        <v>98.281235758871006</v>
      </c>
      <c r="N70" s="12">
        <f t="shared" si="24"/>
        <v>132.21953718827265</v>
      </c>
      <c r="O70" s="14">
        <f t="shared" si="25"/>
        <v>4.7275817331610424E-2</v>
      </c>
      <c r="P70" s="15">
        <f t="shared" si="19"/>
        <v>8.6612906351591166E-3</v>
      </c>
    </row>
    <row r="71" spans="1:16" x14ac:dyDescent="0.3">
      <c r="A71">
        <v>69</v>
      </c>
      <c r="B71" s="3">
        <v>44810</v>
      </c>
      <c r="C71">
        <v>93.09</v>
      </c>
      <c r="D71">
        <v>96.99</v>
      </c>
      <c r="E71">
        <v>92.28</v>
      </c>
      <c r="F71">
        <v>92.83</v>
      </c>
      <c r="G71" s="5">
        <f t="shared" si="20"/>
        <v>-8.879847221850279E-4</v>
      </c>
      <c r="H71" s="5">
        <f t="shared" ca="1" si="21"/>
        <v>-20.298500060922947</v>
      </c>
      <c r="I71">
        <f t="shared" ca="1" si="16"/>
        <v>97.301028678676687</v>
      </c>
      <c r="J71">
        <f t="shared" ca="1" si="22"/>
        <v>-1.9024879305858527E-2</v>
      </c>
      <c r="K71" s="12">
        <f t="shared" si="17"/>
        <v>115.21952376012703</v>
      </c>
      <c r="L71" s="12">
        <f t="shared" si="18"/>
        <v>7.567296098137799E-2</v>
      </c>
      <c r="M71" s="12">
        <f t="shared" si="23"/>
        <v>98.130278809572658</v>
      </c>
      <c r="N71" s="12">
        <f t="shared" si="24"/>
        <v>132.30876871068142</v>
      </c>
      <c r="O71" s="14">
        <f t="shared" si="25"/>
        <v>4.7689323026453373E-2</v>
      </c>
      <c r="P71" s="15">
        <f t="shared" si="19"/>
        <v>8.8055187007682941E-3</v>
      </c>
    </row>
    <row r="72" spans="1:16" x14ac:dyDescent="0.3">
      <c r="A72">
        <v>70</v>
      </c>
      <c r="B72" s="3">
        <v>44811</v>
      </c>
      <c r="C72">
        <v>92.8</v>
      </c>
      <c r="D72">
        <v>93.79</v>
      </c>
      <c r="E72">
        <v>87.4</v>
      </c>
      <c r="F72">
        <v>88</v>
      </c>
      <c r="G72" s="5">
        <f t="shared" si="20"/>
        <v>-2.3205678303144003E-2</v>
      </c>
      <c r="H72" s="5">
        <f t="shared" ca="1" si="21"/>
        <v>-21.37339069644943</v>
      </c>
      <c r="I72">
        <f t="shared" ca="1" si="16"/>
        <v>96.350246678688364</v>
      </c>
      <c r="J72">
        <f t="shared" ca="1" si="22"/>
        <v>-9.8196062806674856E-3</v>
      </c>
      <c r="K72" s="12">
        <f t="shared" si="17"/>
        <v>115.18866931135804</v>
      </c>
      <c r="L72" s="12">
        <f t="shared" si="18"/>
        <v>7.6220921648473244E-2</v>
      </c>
      <c r="M72" s="12">
        <f t="shared" si="23"/>
        <v>97.980287696147116</v>
      </c>
      <c r="N72" s="12">
        <f t="shared" si="24"/>
        <v>132.39705092656897</v>
      </c>
      <c r="O72" s="14">
        <f t="shared" si="25"/>
        <v>6.0132749317271902E-2</v>
      </c>
      <c r="P72" s="15">
        <f t="shared" si="19"/>
        <v>1.3671944159830125E-2</v>
      </c>
    </row>
    <row r="73" spans="1:16" x14ac:dyDescent="0.3">
      <c r="A73">
        <v>71</v>
      </c>
      <c r="B73" s="3">
        <v>44812</v>
      </c>
      <c r="C73">
        <v>87.64</v>
      </c>
      <c r="D73">
        <v>89.83</v>
      </c>
      <c r="E73">
        <v>87.23</v>
      </c>
      <c r="F73">
        <v>89.15</v>
      </c>
      <c r="G73" s="5">
        <f t="shared" si="20"/>
        <v>5.6386753612048248E-3</v>
      </c>
      <c r="H73" s="5">
        <f t="shared" ca="1" si="21"/>
        <v>-22.386193971867733</v>
      </c>
      <c r="I73">
        <f t="shared" ca="1" si="16"/>
        <v>95.462657929523445</v>
      </c>
      <c r="J73">
        <f t="shared" ca="1" si="22"/>
        <v>-9.2548005175366235E-3</v>
      </c>
      <c r="K73" s="12">
        <f t="shared" si="17"/>
        <v>115.15782312505168</v>
      </c>
      <c r="L73" s="12">
        <f t="shared" si="18"/>
        <v>7.6765015848997087E-2</v>
      </c>
      <c r="M73" s="12">
        <f t="shared" si="23"/>
        <v>97.831242575083721</v>
      </c>
      <c r="N73" s="12">
        <f t="shared" si="24"/>
        <v>132.48440367501965</v>
      </c>
      <c r="O73" s="14">
        <f t="shared" si="25"/>
        <v>5.7007785320505967E-2</v>
      </c>
      <c r="P73" s="15">
        <f t="shared" si="19"/>
        <v>1.2359235624495661E-2</v>
      </c>
    </row>
    <row r="74" spans="1:16" x14ac:dyDescent="0.3">
      <c r="A74">
        <v>72</v>
      </c>
      <c r="B74" s="3">
        <v>44813</v>
      </c>
      <c r="C74">
        <v>88.46</v>
      </c>
      <c r="D74">
        <v>93.1</v>
      </c>
      <c r="E74">
        <v>88.32</v>
      </c>
      <c r="F74">
        <v>92.84</v>
      </c>
      <c r="G74" s="5">
        <f t="shared" si="20"/>
        <v>1.7613784272506663E-2</v>
      </c>
      <c r="H74" s="5">
        <f t="shared" ca="1" si="21"/>
        <v>-21.440242893642743</v>
      </c>
      <c r="I74">
        <f t="shared" ca="1" si="16"/>
        <v>96.283700725221408</v>
      </c>
      <c r="J74">
        <f t="shared" ca="1" si="22"/>
        <v>8.5638947139549931E-3</v>
      </c>
      <c r="K74" s="12">
        <f t="shared" si="17"/>
        <v>115.12698519899536</v>
      </c>
      <c r="L74" s="12">
        <f t="shared" si="18"/>
        <v>7.7305325226154992E-2</v>
      </c>
      <c r="M74" s="12">
        <f t="shared" si="23"/>
        <v>97.683124294089822</v>
      </c>
      <c r="N74" s="12">
        <f t="shared" si="24"/>
        <v>132.57084610390089</v>
      </c>
      <c r="O74" s="14">
        <f t="shared" si="25"/>
        <v>4.7487082361298394E-2</v>
      </c>
      <c r="P74" s="15">
        <f t="shared" si="19"/>
        <v>8.7314074141300359E-3</v>
      </c>
    </row>
    <row r="75" spans="1:16" x14ac:dyDescent="0.3">
      <c r="A75">
        <v>73</v>
      </c>
      <c r="B75" s="3">
        <v>44816</v>
      </c>
      <c r="C75">
        <v>92.3</v>
      </c>
      <c r="D75">
        <v>95.17</v>
      </c>
      <c r="E75">
        <v>91.21</v>
      </c>
      <c r="F75">
        <v>94</v>
      </c>
      <c r="G75" s="5">
        <f t="shared" si="20"/>
        <v>5.3927218158185885E-3</v>
      </c>
      <c r="H75" s="5">
        <f t="shared" ca="1" si="21"/>
        <v>-23.657799424892179</v>
      </c>
      <c r="I75">
        <f t="shared" ca="1" si="16"/>
        <v>94.356924965312103</v>
      </c>
      <c r="J75">
        <f t="shared" ca="1" si="22"/>
        <v>-2.021438360914447E-2</v>
      </c>
      <c r="K75" s="12">
        <f t="shared" si="17"/>
        <v>115.09615553097706</v>
      </c>
      <c r="L75" s="12">
        <f t="shared" si="18"/>
        <v>7.7841928596273702E-2</v>
      </c>
      <c r="M75" s="12">
        <f t="shared" si="23"/>
        <v>97.53591435870311</v>
      </c>
      <c r="N75" s="12">
        <f t="shared" si="24"/>
        <v>132.656396703251</v>
      </c>
      <c r="O75" s="14">
        <f t="shared" si="25"/>
        <v>4.4565264083057408E-2</v>
      </c>
      <c r="P75" s="15">
        <f t="shared" si="19"/>
        <v>7.7322061341373515E-3</v>
      </c>
    </row>
    <row r="76" spans="1:16" x14ac:dyDescent="0.3">
      <c r="A76">
        <v>74</v>
      </c>
      <c r="B76" s="3">
        <v>44817</v>
      </c>
      <c r="C76">
        <v>94.21</v>
      </c>
      <c r="D76">
        <v>95.51</v>
      </c>
      <c r="E76">
        <v>91.07</v>
      </c>
      <c r="F76">
        <v>93.17</v>
      </c>
      <c r="G76" s="5">
        <f t="shared" si="20"/>
        <v>-3.8517581107666769E-3</v>
      </c>
      <c r="H76" s="5">
        <f t="shared" ca="1" si="21"/>
        <v>-23.980619407821333</v>
      </c>
      <c r="I76">
        <f t="shared" ca="1" si="16"/>
        <v>94.076342825900568</v>
      </c>
      <c r="J76">
        <f t="shared" ca="1" si="22"/>
        <v>-2.978055309125338E-3</v>
      </c>
      <c r="K76" s="12">
        <f t="shared" si="17"/>
        <v>115.06533411878539</v>
      </c>
      <c r="L76" s="12">
        <f t="shared" si="18"/>
        <v>7.8374902083920298E-2</v>
      </c>
      <c r="M76" s="12">
        <f t="shared" si="23"/>
        <v>97.389594900951167</v>
      </c>
      <c r="N76" s="12">
        <f t="shared" si="24"/>
        <v>132.74107333661959</v>
      </c>
      <c r="O76" s="14">
        <f t="shared" si="25"/>
        <v>4.6549291690964181E-2</v>
      </c>
      <c r="P76" s="15">
        <f t="shared" si="19"/>
        <v>8.4030969132278446E-3</v>
      </c>
    </row>
    <row r="77" spans="1:16" x14ac:dyDescent="0.3">
      <c r="A77">
        <v>75</v>
      </c>
      <c r="B77" s="3">
        <v>44818</v>
      </c>
      <c r="C77">
        <v>93.49</v>
      </c>
      <c r="D77">
        <v>95.81</v>
      </c>
      <c r="E77">
        <v>91.95</v>
      </c>
      <c r="F77">
        <v>94.1</v>
      </c>
      <c r="G77" s="5">
        <f t="shared" si="20"/>
        <v>4.3135279383249223E-3</v>
      </c>
      <c r="H77" s="5">
        <f t="shared" ca="1" si="21"/>
        <v>-26.081664583088106</v>
      </c>
      <c r="I77">
        <f t="shared" ca="1" si="16"/>
        <v>92.291507269539352</v>
      </c>
      <c r="J77">
        <f t="shared" ca="1" si="22"/>
        <v>-1.9154485342982863E-2</v>
      </c>
      <c r="K77" s="12">
        <f t="shared" si="17"/>
        <v>115.03452096020953</v>
      </c>
      <c r="L77" s="12">
        <f t="shared" si="18"/>
        <v>7.8904319248834329E-2</v>
      </c>
      <c r="M77" s="12">
        <f t="shared" si="23"/>
        <v>97.244148649906577</v>
      </c>
      <c r="N77" s="12">
        <f t="shared" si="24"/>
        <v>132.82489327051249</v>
      </c>
      <c r="O77" s="14">
        <f t="shared" si="25"/>
        <v>4.4202991254089136E-2</v>
      </c>
      <c r="P77" s="15">
        <f t="shared" si="19"/>
        <v>7.6105671994459081E-3</v>
      </c>
    </row>
    <row r="78" spans="1:16" x14ac:dyDescent="0.3">
      <c r="A78">
        <v>76</v>
      </c>
      <c r="B78" s="3">
        <v>44819</v>
      </c>
      <c r="C78">
        <v>94.43</v>
      </c>
      <c r="D78">
        <v>94.65</v>
      </c>
      <c r="E78">
        <v>90.05</v>
      </c>
      <c r="F78">
        <v>90.84</v>
      </c>
      <c r="G78" s="5">
        <f t="shared" si="20"/>
        <v>-1.5312497879559267E-2</v>
      </c>
      <c r="H78" s="5">
        <f t="shared" ca="1" si="21"/>
        <v>-25.553893508004592</v>
      </c>
      <c r="I78">
        <f t="shared" ca="1" si="16"/>
        <v>92.731837122105944</v>
      </c>
      <c r="J78">
        <f t="shared" ca="1" si="22"/>
        <v>4.7597311065977043E-3</v>
      </c>
      <c r="K78" s="12">
        <f t="shared" si="17"/>
        <v>115.00371605303927</v>
      </c>
      <c r="L78" s="12">
        <f t="shared" si="18"/>
        <v>7.9430251205264549E-2</v>
      </c>
      <c r="M78" s="12">
        <f t="shared" si="23"/>
        <v>97.099558904000901</v>
      </c>
      <c r="N78" s="12">
        <f t="shared" si="24"/>
        <v>132.90787320207767</v>
      </c>
      <c r="O78" s="14">
        <f t="shared" si="25"/>
        <v>5.2308606795021424E-2</v>
      </c>
      <c r="P78" s="15">
        <f t="shared" si="19"/>
        <v>1.0492877629774812E-2</v>
      </c>
    </row>
    <row r="79" spans="1:16" x14ac:dyDescent="0.3">
      <c r="A79">
        <v>77</v>
      </c>
      <c r="B79" s="3">
        <v>44820</v>
      </c>
      <c r="C79">
        <v>90.65</v>
      </c>
      <c r="D79">
        <v>92.64</v>
      </c>
      <c r="E79">
        <v>90.22</v>
      </c>
      <c r="F79">
        <v>91.35</v>
      </c>
      <c r="G79" s="5">
        <f t="shared" si="20"/>
        <v>2.4314261408590137E-3</v>
      </c>
      <c r="H79" s="5">
        <f t="shared" ca="1" si="21"/>
        <v>-27.015293012658752</v>
      </c>
      <c r="I79">
        <f t="shared" ca="1" si="16"/>
        <v>91.503406129415794</v>
      </c>
      <c r="J79">
        <f t="shared" ca="1" si="22"/>
        <v>-1.3335659087618308E-2</v>
      </c>
      <c r="K79" s="12">
        <f t="shared" si="17"/>
        <v>114.97291939506499</v>
      </c>
      <c r="L79" s="12">
        <f t="shared" si="18"/>
        <v>7.9952766734256733E-2</v>
      </c>
      <c r="M79" s="12">
        <f t="shared" si="23"/>
        <v>96.95580950497073</v>
      </c>
      <c r="N79" s="12">
        <f t="shared" si="24"/>
        <v>132.99002928515924</v>
      </c>
      <c r="O79" s="14">
        <f t="shared" si="25"/>
        <v>5.0944342208311545E-2</v>
      </c>
      <c r="P79" s="15">
        <f t="shared" si="19"/>
        <v>9.977414252918277E-3</v>
      </c>
    </row>
    <row r="80" spans="1:16" x14ac:dyDescent="0.3">
      <c r="A80">
        <v>78</v>
      </c>
      <c r="B80" s="3">
        <v>44823</v>
      </c>
      <c r="C80">
        <v>91.65</v>
      </c>
      <c r="D80">
        <v>92.58</v>
      </c>
      <c r="E80">
        <v>88.48</v>
      </c>
      <c r="F80">
        <v>92</v>
      </c>
      <c r="G80" s="5">
        <f t="shared" si="20"/>
        <v>3.079275656998684E-3</v>
      </c>
      <c r="H80" s="5">
        <f t="shared" ca="1" si="21"/>
        <v>-25.153149308268482</v>
      </c>
      <c r="I80">
        <f t="shared" ca="1" si="16"/>
        <v>93.062811022728965</v>
      </c>
      <c r="J80">
        <f t="shared" ca="1" si="22"/>
        <v>1.6898455476316014E-2</v>
      </c>
      <c r="K80" s="12">
        <f t="shared" si="17"/>
        <v>114.94213098407761</v>
      </c>
      <c r="L80" s="12">
        <f t="shared" si="18"/>
        <v>8.047193238940839E-2</v>
      </c>
      <c r="M80" s="12">
        <f t="shared" si="23"/>
        <v>96.812884813316984</v>
      </c>
      <c r="N80" s="12">
        <f t="shared" si="24"/>
        <v>133.07137715483825</v>
      </c>
      <c r="O80" s="14">
        <f t="shared" si="25"/>
        <v>4.9237201614884832E-2</v>
      </c>
      <c r="P80" s="15">
        <f t="shared" si="19"/>
        <v>9.3492301570251429E-3</v>
      </c>
    </row>
    <row r="81" spans="1:16" x14ac:dyDescent="0.3">
      <c r="A81">
        <v>79</v>
      </c>
      <c r="B81" s="3">
        <v>44824</v>
      </c>
      <c r="C81">
        <v>91.97</v>
      </c>
      <c r="D81">
        <v>93.02</v>
      </c>
      <c r="E81">
        <v>89.8</v>
      </c>
      <c r="F81">
        <v>90.62</v>
      </c>
      <c r="G81" s="5">
        <f t="shared" si="20"/>
        <v>-6.5637695023882245E-3</v>
      </c>
      <c r="H81" s="5">
        <f t="shared" ca="1" si="21"/>
        <v>-24.351604537023476</v>
      </c>
      <c r="I81">
        <f t="shared" ca="1" si="16"/>
        <v>93.739990385392133</v>
      </c>
      <c r="J81">
        <f t="shared" ca="1" si="22"/>
        <v>7.2502374047596187E-3</v>
      </c>
      <c r="K81" s="12">
        <f t="shared" si="17"/>
        <v>114.91135081786872</v>
      </c>
      <c r="L81" s="12">
        <f t="shared" si="18"/>
        <v>8.0987812596532094E-2</v>
      </c>
      <c r="M81" s="12">
        <f t="shared" si="23"/>
        <v>96.670769685174989</v>
      </c>
      <c r="N81" s="12">
        <f t="shared" si="24"/>
        <v>133.15193195056244</v>
      </c>
      <c r="O81" s="14">
        <f t="shared" si="25"/>
        <v>5.2696507426339086E-2</v>
      </c>
      <c r="P81" s="15">
        <f t="shared" si="19"/>
        <v>1.0637626937883164E-2</v>
      </c>
    </row>
    <row r="82" spans="1:16" x14ac:dyDescent="0.3">
      <c r="A82">
        <v>80</v>
      </c>
      <c r="B82" s="3">
        <v>44825</v>
      </c>
      <c r="C82">
        <v>90.69</v>
      </c>
      <c r="D82">
        <v>93.51</v>
      </c>
      <c r="E82">
        <v>89.3</v>
      </c>
      <c r="F82">
        <v>89.83</v>
      </c>
      <c r="G82" s="5">
        <f t="shared" si="20"/>
        <v>-3.8026581621318709E-3</v>
      </c>
      <c r="H82" s="5">
        <f t="shared" ca="1" si="21"/>
        <v>-25.104468411054196</v>
      </c>
      <c r="I82">
        <f t="shared" ca="1" si="16"/>
        <v>93.096328348383778</v>
      </c>
      <c r="J82">
        <f t="shared" ca="1" si="22"/>
        <v>-6.8901441412193521E-3</v>
      </c>
      <c r="K82" s="12">
        <f t="shared" si="17"/>
        <v>114.88057889423044</v>
      </c>
      <c r="L82" s="12">
        <f t="shared" si="18"/>
        <v>8.1500469747660731E-2</v>
      </c>
      <c r="M82" s="12">
        <f t="shared" si="23"/>
        <v>96.529449450494994</v>
      </c>
      <c r="N82" s="12">
        <f t="shared" si="24"/>
        <v>133.23170833796587</v>
      </c>
      <c r="O82" s="14">
        <f t="shared" si="25"/>
        <v>5.4686211429648801E-2</v>
      </c>
      <c r="P82" s="15">
        <f t="shared" si="19"/>
        <v>1.1411626703830285E-2</v>
      </c>
    </row>
    <row r="83" spans="1:16" x14ac:dyDescent="0.3">
      <c r="A83">
        <v>81</v>
      </c>
      <c r="B83" s="3">
        <v>44826</v>
      </c>
      <c r="C83">
        <v>89.92</v>
      </c>
      <c r="D83">
        <v>92.8</v>
      </c>
      <c r="E83">
        <v>89.29</v>
      </c>
      <c r="F83">
        <v>90.46</v>
      </c>
      <c r="G83" s="5">
        <f t="shared" si="20"/>
        <v>3.0351837288646352E-3</v>
      </c>
      <c r="H83" s="5">
        <f t="shared" ca="1" si="21"/>
        <v>-26.489543381634864</v>
      </c>
      <c r="I83">
        <f t="shared" ca="1" si="16"/>
        <v>91.926873466167365</v>
      </c>
      <c r="J83">
        <f t="shared" ca="1" si="22"/>
        <v>-1.2641338429792476E-2</v>
      </c>
      <c r="K83" s="12">
        <f t="shared" si="17"/>
        <v>114.84981521095551</v>
      </c>
      <c r="L83" s="12">
        <f t="shared" si="18"/>
        <v>8.2009964289780232E-2</v>
      </c>
      <c r="M83" s="12">
        <f t="shared" si="23"/>
        <v>96.388909892444403</v>
      </c>
      <c r="N83" s="12">
        <f t="shared" si="24"/>
        <v>133.31072052946661</v>
      </c>
      <c r="O83" s="14">
        <f t="shared" si="25"/>
        <v>5.2990553553447381E-2</v>
      </c>
      <c r="P83" s="15">
        <f t="shared" si="19"/>
        <v>1.0748239670863169E-2</v>
      </c>
    </row>
    <row r="84" spans="1:16" x14ac:dyDescent="0.3">
      <c r="A84">
        <v>82</v>
      </c>
      <c r="B84" s="3">
        <v>44827</v>
      </c>
      <c r="C84">
        <v>90.35</v>
      </c>
      <c r="D84">
        <v>90.71</v>
      </c>
      <c r="E84">
        <v>85.46</v>
      </c>
      <c r="F84">
        <v>86.15</v>
      </c>
      <c r="G84" s="5">
        <f t="shared" si="20"/>
        <v>-2.1201301625852473E-2</v>
      </c>
      <c r="H84" s="5">
        <f t="shared" ca="1" si="21"/>
        <v>-27.060779040546848</v>
      </c>
      <c r="I84">
        <f t="shared" ca="1" si="16"/>
        <v>91.446630277423893</v>
      </c>
      <c r="J84">
        <f t="shared" ca="1" si="22"/>
        <v>-5.2378809032993141E-3</v>
      </c>
      <c r="K84" s="12">
        <f t="shared" si="17"/>
        <v>114.81905976583728</v>
      </c>
      <c r="L84" s="12">
        <f t="shared" si="18"/>
        <v>8.2516354808646469E-2</v>
      </c>
      <c r="M84" s="12">
        <f t="shared" si="23"/>
        <v>96.24913722794858</v>
      </c>
      <c r="N84" s="12">
        <f t="shared" si="24"/>
        <v>133.38898230372598</v>
      </c>
      <c r="O84" s="14">
        <f t="shared" si="25"/>
        <v>6.4466277690198207E-2</v>
      </c>
      <c r="P84" s="15">
        <f t="shared" si="19"/>
        <v>1.5564734322796361E-2</v>
      </c>
    </row>
    <row r="85" spans="1:16" x14ac:dyDescent="0.3">
      <c r="A85">
        <v>83</v>
      </c>
      <c r="B85" s="3">
        <v>44830</v>
      </c>
      <c r="C85">
        <v>86.72</v>
      </c>
      <c r="D85">
        <v>87.66</v>
      </c>
      <c r="E85">
        <v>83.63</v>
      </c>
      <c r="F85">
        <v>84.06</v>
      </c>
      <c r="G85" s="5">
        <f t="shared" si="20"/>
        <v>-1.0665896114629089E-2</v>
      </c>
      <c r="H85" s="5">
        <f t="shared" ca="1" si="21"/>
        <v>-28.185074198500903</v>
      </c>
      <c r="I85">
        <f t="shared" ca="1" si="16"/>
        <v>90.512366663071333</v>
      </c>
      <c r="J85">
        <f t="shared" ca="1" si="22"/>
        <v>-1.0269036872388802E-2</v>
      </c>
      <c r="K85" s="12">
        <f t="shared" si="17"/>
        <v>114.78831255666964</v>
      </c>
      <c r="L85" s="12">
        <f t="shared" si="18"/>
        <v>8.301969810801671E-2</v>
      </c>
      <c r="M85" s="12">
        <f t="shared" si="23"/>
        <v>96.110118089294218</v>
      </c>
      <c r="N85" s="12">
        <f t="shared" si="24"/>
        <v>133.46650702404506</v>
      </c>
      <c r="O85" s="14">
        <f t="shared" si="25"/>
        <v>7.0305015153849376E-2</v>
      </c>
      <c r="P85" s="15">
        <f t="shared" si="19"/>
        <v>1.8308332239806251E-2</v>
      </c>
    </row>
    <row r="86" spans="1:16" x14ac:dyDescent="0.3">
      <c r="A86">
        <v>84</v>
      </c>
      <c r="B86" s="3">
        <v>44831</v>
      </c>
      <c r="C86">
        <v>83.91</v>
      </c>
      <c r="D86">
        <v>87.13</v>
      </c>
      <c r="E86">
        <v>83.91</v>
      </c>
      <c r="F86">
        <v>86.27</v>
      </c>
      <c r="G86" s="5">
        <f t="shared" si="20"/>
        <v>1.1270412368462178E-2</v>
      </c>
      <c r="H86" s="5">
        <f t="shared" ca="1" si="21"/>
        <v>-29.008370315574524</v>
      </c>
      <c r="I86">
        <f t="shared" ca="1" si="16"/>
        <v>89.833290661834766</v>
      </c>
      <c r="J86">
        <f t="shared" ca="1" si="22"/>
        <v>-7.5308629076729873E-3</v>
      </c>
      <c r="K86" s="12">
        <f t="shared" si="17"/>
        <v>114.7575735812471</v>
      </c>
      <c r="L86" s="12">
        <f t="shared" si="18"/>
        <v>8.3520049284594403E-2</v>
      </c>
      <c r="M86" s="12">
        <f t="shared" si="23"/>
        <v>95.971839506726099</v>
      </c>
      <c r="N86" s="12">
        <f t="shared" si="24"/>
        <v>133.5433076557681</v>
      </c>
      <c r="O86" s="14">
        <f t="shared" si="25"/>
        <v>6.4013705483449979E-2</v>
      </c>
      <c r="P86" s="15">
        <f t="shared" si="19"/>
        <v>1.5356552777269628E-2</v>
      </c>
    </row>
    <row r="87" spans="1:16" x14ac:dyDescent="0.3">
      <c r="A87">
        <v>85</v>
      </c>
      <c r="B87" s="3">
        <v>44832</v>
      </c>
      <c r="C87">
        <v>85.83</v>
      </c>
      <c r="D87">
        <v>89.49</v>
      </c>
      <c r="E87">
        <v>84.27</v>
      </c>
      <c r="F87">
        <v>89.32</v>
      </c>
      <c r="G87" s="5">
        <f t="shared" si="20"/>
        <v>1.5088916361519891E-2</v>
      </c>
      <c r="H87" s="5">
        <f t="shared" ca="1" si="21"/>
        <v>-28.655240482513019</v>
      </c>
      <c r="I87">
        <f t="shared" ca="1" si="16"/>
        <v>90.118606678080667</v>
      </c>
      <c r="J87">
        <f t="shared" ca="1" si="22"/>
        <v>3.1710280307623313E-3</v>
      </c>
      <c r="K87" s="12">
        <f t="shared" si="17"/>
        <v>114.72684283736477</v>
      </c>
      <c r="L87" s="12">
        <f t="shared" si="18"/>
        <v>8.4017461798970128E-2</v>
      </c>
      <c r="M87" s="12">
        <f t="shared" si="23"/>
        <v>95.834288891971482</v>
      </c>
      <c r="N87" s="12">
        <f t="shared" si="24"/>
        <v>133.61939678275806</v>
      </c>
      <c r="O87" s="14">
        <f t="shared" si="25"/>
        <v>5.5724851820966627E-2</v>
      </c>
      <c r="P87" s="15">
        <f t="shared" si="19"/>
        <v>1.1819239978198314E-2</v>
      </c>
    </row>
    <row r="88" spans="1:16" x14ac:dyDescent="0.3">
      <c r="A88">
        <v>86</v>
      </c>
      <c r="B88" s="3">
        <v>44833</v>
      </c>
      <c r="C88">
        <v>88.95</v>
      </c>
      <c r="D88">
        <v>90.1</v>
      </c>
      <c r="E88">
        <v>87.45</v>
      </c>
      <c r="F88">
        <v>88.49</v>
      </c>
      <c r="G88" s="5">
        <f t="shared" si="20"/>
        <v>-4.0545192970735918E-3</v>
      </c>
      <c r="H88" s="5">
        <f t="shared" ca="1" si="21"/>
        <v>-27.092060376650998</v>
      </c>
      <c r="I88">
        <f t="shared" ca="1" si="16"/>
        <v>91.405481795109495</v>
      </c>
      <c r="J88">
        <f t="shared" ca="1" si="22"/>
        <v>1.417879783390835E-2</v>
      </c>
      <c r="K88" s="12">
        <f t="shared" si="17"/>
        <v>114.69612032281835</v>
      </c>
      <c r="L88" s="12">
        <f t="shared" si="18"/>
        <v>8.4511987542823241E-2</v>
      </c>
      <c r="M88" s="12">
        <f t="shared" si="23"/>
        <v>95.697454022631277</v>
      </c>
      <c r="N88" s="12">
        <f t="shared" si="24"/>
        <v>133.69478662300543</v>
      </c>
      <c r="O88" s="14">
        <f t="shared" si="25"/>
        <v>5.786371597057887E-2</v>
      </c>
      <c r="P88" s="15">
        <f t="shared" si="19"/>
        <v>1.2691043744652896E-2</v>
      </c>
    </row>
    <row r="89" spans="1:16" x14ac:dyDescent="0.3">
      <c r="A89">
        <v>87</v>
      </c>
      <c r="B89" s="3">
        <v>44834</v>
      </c>
      <c r="C89">
        <v>88.56</v>
      </c>
      <c r="D89">
        <v>89.52</v>
      </c>
      <c r="E89">
        <v>87.85</v>
      </c>
      <c r="F89">
        <v>87.96</v>
      </c>
      <c r="G89" s="5">
        <f t="shared" si="20"/>
        <v>-2.6089744135740171E-3</v>
      </c>
      <c r="H89" s="5">
        <f t="shared" ca="1" si="21"/>
        <v>-26.188399014924808</v>
      </c>
      <c r="I89">
        <f t="shared" ca="1" si="16"/>
        <v>92.156170164712023</v>
      </c>
      <c r="J89">
        <f t="shared" ca="1" si="22"/>
        <v>8.1791871735138136E-3</v>
      </c>
      <c r="K89" s="12">
        <f t="shared" si="17"/>
        <v>114.66540603540409</v>
      </c>
      <c r="L89" s="12">
        <f t="shared" si="18"/>
        <v>8.5003676902603617E-2</v>
      </c>
      <c r="M89" s="12">
        <f t="shared" si="23"/>
        <v>95.561323027386976</v>
      </c>
      <c r="N89" s="12">
        <f t="shared" si="24"/>
        <v>133.7694890434212</v>
      </c>
      <c r="O89" s="14">
        <f t="shared" si="25"/>
        <v>5.9223405769569838E-2</v>
      </c>
      <c r="P89" s="15">
        <f t="shared" si="19"/>
        <v>1.3258875953673085E-2</v>
      </c>
    </row>
    <row r="90" spans="1:16" x14ac:dyDescent="0.3">
      <c r="A90">
        <v>88</v>
      </c>
      <c r="B90" s="3">
        <v>44837</v>
      </c>
      <c r="C90">
        <v>86.51</v>
      </c>
      <c r="D90">
        <v>89.83</v>
      </c>
      <c r="E90">
        <v>86.51</v>
      </c>
      <c r="F90">
        <v>88.86</v>
      </c>
      <c r="G90" s="5">
        <f t="shared" si="20"/>
        <v>4.4210882160994119E-3</v>
      </c>
      <c r="H90" s="5">
        <f t="shared" ca="1" si="21"/>
        <v>-26.99644687093026</v>
      </c>
      <c r="I90">
        <f t="shared" ca="1" si="16"/>
        <v>91.477449605660155</v>
      </c>
      <c r="J90">
        <f t="shared" ca="1" si="22"/>
        <v>-7.3921502016726232E-3</v>
      </c>
      <c r="K90" s="12">
        <f t="shared" si="17"/>
        <v>114.63469997291887</v>
      </c>
      <c r="L90" s="12">
        <f t="shared" si="18"/>
        <v>8.5492578819943529E-2</v>
      </c>
      <c r="M90" s="12">
        <f t="shared" si="23"/>
        <v>95.425884371965594</v>
      </c>
      <c r="N90" s="12">
        <f t="shared" si="24"/>
        <v>133.84351557387214</v>
      </c>
      <c r="O90" s="14">
        <f t="shared" si="25"/>
        <v>5.6760625881882236E-2</v>
      </c>
      <c r="P90" s="15">
        <f t="shared" si="19"/>
        <v>1.2234525589293997E-2</v>
      </c>
    </row>
    <row r="91" spans="1:16" x14ac:dyDescent="0.3">
      <c r="A91">
        <v>89</v>
      </c>
      <c r="B91" s="3">
        <v>44838</v>
      </c>
      <c r="C91">
        <v>88.89</v>
      </c>
      <c r="D91">
        <v>92.39</v>
      </c>
      <c r="E91">
        <v>88.69</v>
      </c>
      <c r="F91">
        <v>91.8</v>
      </c>
      <c r="G91" s="5">
        <f t="shared" si="20"/>
        <v>1.4136372296390316E-2</v>
      </c>
      <c r="H91" s="5">
        <f t="shared" ca="1" si="21"/>
        <v>-27.778808225076116</v>
      </c>
      <c r="I91">
        <f t="shared" ca="1" si="16"/>
        <v>90.824948237686542</v>
      </c>
      <c r="J91">
        <f t="shared" ca="1" si="22"/>
        <v>-7.1584813154500901E-3</v>
      </c>
      <c r="K91" s="12">
        <f t="shared" si="17"/>
        <v>114.60400213316018</v>
      </c>
      <c r="L91" s="12">
        <f t="shared" si="18"/>
        <v>8.5978740848972821E-2</v>
      </c>
      <c r="M91" s="12">
        <f t="shared" si="23"/>
        <v>95.291126845822447</v>
      </c>
      <c r="N91" s="12">
        <f t="shared" si="24"/>
        <v>133.91687742049791</v>
      </c>
      <c r="O91" s="14">
        <f t="shared" si="25"/>
        <v>4.9090588763301093E-2</v>
      </c>
      <c r="P91" s="15">
        <f t="shared" si="19"/>
        <v>9.2846912734815528E-3</v>
      </c>
    </row>
    <row r="92" spans="1:16" x14ac:dyDescent="0.3">
      <c r="A92">
        <v>90</v>
      </c>
      <c r="B92" s="3">
        <v>44839</v>
      </c>
      <c r="C92">
        <v>91.65</v>
      </c>
      <c r="D92">
        <v>93.97</v>
      </c>
      <c r="E92">
        <v>90.9</v>
      </c>
      <c r="F92">
        <v>93.37</v>
      </c>
      <c r="G92" s="5">
        <f t="shared" si="20"/>
        <v>7.3646776056122097E-3</v>
      </c>
      <c r="H92" s="5">
        <f t="shared" ca="1" si="21"/>
        <v>-29.358479260351086</v>
      </c>
      <c r="I92">
        <f t="shared" ca="1" si="16"/>
        <v>89.525404898427141</v>
      </c>
      <c r="J92">
        <f t="shared" ca="1" si="22"/>
        <v>-1.4411569578780248E-2</v>
      </c>
      <c r="K92" s="12">
        <f t="shared" si="17"/>
        <v>114.57331251392601</v>
      </c>
      <c r="L92" s="12">
        <f t="shared" si="18"/>
        <v>8.6462209210758895E-2</v>
      </c>
      <c r="M92" s="12">
        <f t="shared" si="23"/>
        <v>95.157039549490506</v>
      </c>
      <c r="N92" s="12">
        <f t="shared" si="24"/>
        <v>133.98958547836153</v>
      </c>
      <c r="O92" s="14">
        <f t="shared" si="25"/>
        <v>4.5110028789558464E-2</v>
      </c>
      <c r="P92" s="15">
        <f t="shared" si="19"/>
        <v>7.8989630491018425E-3</v>
      </c>
    </row>
    <row r="93" spans="1:16" x14ac:dyDescent="0.3">
      <c r="A93">
        <v>91</v>
      </c>
      <c r="B93" s="3">
        <v>44840</v>
      </c>
      <c r="C93">
        <v>93.83</v>
      </c>
      <c r="D93">
        <v>95.01</v>
      </c>
      <c r="E93">
        <v>92.73</v>
      </c>
      <c r="F93">
        <v>94.42</v>
      </c>
      <c r="G93" s="5">
        <f t="shared" si="20"/>
        <v>4.8566372883814581E-3</v>
      </c>
      <c r="H93" s="5">
        <f t="shared" ca="1" si="21"/>
        <v>-30.048304602494397</v>
      </c>
      <c r="I93">
        <f t="shared" ca="1" si="16"/>
        <v>88.961683361508832</v>
      </c>
      <c r="J93">
        <f t="shared" ca="1" si="22"/>
        <v>-6.316685613633812E-3</v>
      </c>
      <c r="K93" s="12">
        <f t="shared" si="17"/>
        <v>114.54263111301505</v>
      </c>
      <c r="L93" s="12">
        <f t="shared" si="18"/>
        <v>8.6943028845020073E-2</v>
      </c>
      <c r="M93" s="12">
        <f t="shared" si="23"/>
        <v>95.023611882562065</v>
      </c>
      <c r="N93" s="12">
        <f t="shared" si="24"/>
        <v>134.06165034346805</v>
      </c>
      <c r="O93" s="14">
        <f t="shared" si="25"/>
        <v>4.2481235528346852E-2</v>
      </c>
      <c r="P93" s="15">
        <f t="shared" si="19"/>
        <v>7.039740056899872E-3</v>
      </c>
    </row>
    <row r="94" spans="1:16" x14ac:dyDescent="0.3">
      <c r="A94">
        <v>92</v>
      </c>
      <c r="B94" s="3">
        <v>44841</v>
      </c>
      <c r="C94">
        <v>94.99</v>
      </c>
      <c r="D94">
        <v>98.59</v>
      </c>
      <c r="E94">
        <v>93.93</v>
      </c>
      <c r="F94">
        <v>97.92</v>
      </c>
      <c r="G94" s="5">
        <f t="shared" si="20"/>
        <v>1.5807408706249863E-2</v>
      </c>
      <c r="H94" s="5">
        <f t="shared" ca="1" si="21"/>
        <v>-30.434929068920074</v>
      </c>
      <c r="I94">
        <f t="shared" ca="1" si="16"/>
        <v>88.645677426760429</v>
      </c>
      <c r="J94">
        <f t="shared" ca="1" si="22"/>
        <v>-3.5584816620841753E-3</v>
      </c>
      <c r="K94" s="12">
        <f t="shared" si="17"/>
        <v>114.51195792822651</v>
      </c>
      <c r="L94" s="12">
        <f t="shared" si="18"/>
        <v>8.7421243459289352E-2</v>
      </c>
      <c r="M94" s="12">
        <f t="shared" si="23"/>
        <v>94.890833532261468</v>
      </c>
      <c r="N94" s="12">
        <f t="shared" si="24"/>
        <v>134.13308232419155</v>
      </c>
      <c r="O94" s="14">
        <f t="shared" si="25"/>
        <v>3.4145568289525974E-2</v>
      </c>
      <c r="P94" s="15">
        <f t="shared" si="19"/>
        <v>4.6212036520289742E-3</v>
      </c>
    </row>
    <row r="95" spans="1:16" x14ac:dyDescent="0.3">
      <c r="A95">
        <v>93</v>
      </c>
      <c r="B95" s="3">
        <v>44844</v>
      </c>
      <c r="C95">
        <v>98.7</v>
      </c>
      <c r="D95">
        <v>98.76</v>
      </c>
      <c r="E95">
        <v>95.62</v>
      </c>
      <c r="F95">
        <v>96.19</v>
      </c>
      <c r="G95" s="5">
        <f t="shared" si="20"/>
        <v>-7.7414800667858913E-3</v>
      </c>
      <c r="H95" s="5">
        <f t="shared" ca="1" si="21"/>
        <v>-30.882001547559732</v>
      </c>
      <c r="I95">
        <f t="shared" ca="1" si="16"/>
        <v>88.282234889111692</v>
      </c>
      <c r="J95">
        <f t="shared" ca="1" si="22"/>
        <v>-4.1083743553596824E-3</v>
      </c>
      <c r="K95" s="12">
        <f t="shared" si="17"/>
        <v>114.48129295736022</v>
      </c>
      <c r="L95" s="12">
        <f t="shared" si="18"/>
        <v>8.7896895575688028E-2</v>
      </c>
      <c r="M95" s="12">
        <f t="shared" si="23"/>
        <v>94.758694462572265</v>
      </c>
      <c r="N95" s="12">
        <f t="shared" si="24"/>
        <v>134.20389145214818</v>
      </c>
      <c r="O95" s="14">
        <f t="shared" si="25"/>
        <v>3.8123876829753399E-2</v>
      </c>
      <c r="P95" s="15">
        <f t="shared" si="19"/>
        <v>5.716055690552245E-3</v>
      </c>
    </row>
    <row r="96" spans="1:16" x14ac:dyDescent="0.3">
      <c r="A96">
        <v>94</v>
      </c>
      <c r="B96" s="3">
        <v>44845</v>
      </c>
      <c r="C96">
        <v>96.15</v>
      </c>
      <c r="D96">
        <v>96.45</v>
      </c>
      <c r="E96">
        <v>93.11</v>
      </c>
      <c r="F96">
        <v>94.29</v>
      </c>
      <c r="G96" s="5">
        <f t="shared" si="20"/>
        <v>-8.6642889974575792E-3</v>
      </c>
      <c r="H96" s="5">
        <f t="shared" ca="1" si="21"/>
        <v>-32.412348859515319</v>
      </c>
      <c r="I96">
        <f t="shared" ca="1" si="16"/>
        <v>87.058127085113199</v>
      </c>
      <c r="J96">
        <f t="shared" ca="1" si="22"/>
        <v>-1.3962874012705238E-2</v>
      </c>
      <c r="K96" s="12">
        <f t="shared" si="17"/>
        <v>114.45063619821657</v>
      </c>
      <c r="L96" s="12">
        <f t="shared" si="18"/>
        <v>8.8370026575430458E-2</v>
      </c>
      <c r="M96" s="12">
        <f t="shared" si="23"/>
        <v>94.627184903890381</v>
      </c>
      <c r="N96" s="12">
        <f t="shared" si="24"/>
        <v>134.27408749254278</v>
      </c>
      <c r="O96" s="14">
        <f t="shared" si="25"/>
        <v>4.2620430497846383E-2</v>
      </c>
      <c r="P96" s="15">
        <f t="shared" si="19"/>
        <v>7.0816559461708102E-3</v>
      </c>
    </row>
    <row r="97" spans="1:16" x14ac:dyDescent="0.3">
      <c r="A97">
        <v>95</v>
      </c>
      <c r="B97" s="3">
        <v>44846</v>
      </c>
      <c r="C97">
        <v>93.69</v>
      </c>
      <c r="D97">
        <v>95.17</v>
      </c>
      <c r="E97">
        <v>91.58</v>
      </c>
      <c r="F97">
        <v>92.45</v>
      </c>
      <c r="G97" s="5">
        <f t="shared" si="20"/>
        <v>-8.5587202420505885E-3</v>
      </c>
      <c r="H97" s="5">
        <f t="shared" ca="1" si="21"/>
        <v>-31.814241453353869</v>
      </c>
      <c r="I97">
        <f t="shared" ca="1" si="16"/>
        <v>87.529475573807531</v>
      </c>
      <c r="J97">
        <f t="shared" ca="1" si="22"/>
        <v>5.3995773664658629E-3</v>
      </c>
      <c r="K97" s="12">
        <f t="shared" si="17"/>
        <v>114.41998764859656</v>
      </c>
      <c r="L97" s="12">
        <f t="shared" si="18"/>
        <v>8.8840676741208227E-2</v>
      </c>
      <c r="M97" s="12">
        <f t="shared" si="23"/>
        <v>94.496295343169436</v>
      </c>
      <c r="N97" s="12">
        <f t="shared" si="24"/>
        <v>134.34367995402368</v>
      </c>
      <c r="O97" s="14">
        <f t="shared" si="25"/>
        <v>4.7100389302987967E-2</v>
      </c>
      <c r="P97" s="15">
        <f t="shared" si="19"/>
        <v>8.5738305162535427E-3</v>
      </c>
    </row>
    <row r="98" spans="1:16" x14ac:dyDescent="0.3">
      <c r="A98">
        <v>96</v>
      </c>
      <c r="B98" s="3">
        <v>44847</v>
      </c>
      <c r="C98">
        <v>92.47</v>
      </c>
      <c r="D98">
        <v>94.9</v>
      </c>
      <c r="E98">
        <v>91.09</v>
      </c>
      <c r="F98">
        <v>94.57</v>
      </c>
      <c r="G98" s="5">
        <f t="shared" si="20"/>
        <v>9.8464735410955205E-3</v>
      </c>
      <c r="H98" s="5">
        <f t="shared" ca="1" si="21"/>
        <v>-31.538305395302942</v>
      </c>
      <c r="I98">
        <f t="shared" ca="1" si="16"/>
        <v>87.74583530147757</v>
      </c>
      <c r="J98">
        <f t="shared" ca="1" si="22"/>
        <v>2.4687999294572644E-3</v>
      </c>
      <c r="K98" s="12">
        <f t="shared" si="17"/>
        <v>114.38934730630177</v>
      </c>
      <c r="L98" s="12">
        <f t="shared" si="18"/>
        <v>8.9308885297576412E-2</v>
      </c>
      <c r="M98" s="12">
        <f t="shared" si="23"/>
        <v>94.366016514529221</v>
      </c>
      <c r="N98" s="12">
        <f t="shared" si="24"/>
        <v>134.41267809807431</v>
      </c>
      <c r="O98" s="14">
        <f t="shared" si="25"/>
        <v>4.1823131056530009E-2</v>
      </c>
      <c r="P98" s="15">
        <f t="shared" si="19"/>
        <v>6.8280793076023489E-3</v>
      </c>
    </row>
    <row r="99" spans="1:16" x14ac:dyDescent="0.3">
      <c r="A99">
        <v>97</v>
      </c>
      <c r="B99" s="3">
        <v>44848</v>
      </c>
      <c r="C99">
        <v>94.75</v>
      </c>
      <c r="D99">
        <v>95.11</v>
      </c>
      <c r="E99">
        <v>91.27</v>
      </c>
      <c r="F99">
        <v>91.63</v>
      </c>
      <c r="G99" s="5">
        <f t="shared" si="20"/>
        <v>-1.3715702471274792E-2</v>
      </c>
      <c r="H99" s="5">
        <f t="shared" ca="1" si="21"/>
        <v>-33.354676713713722</v>
      </c>
      <c r="I99">
        <f t="shared" ca="1" si="16"/>
        <v>86.304313500654189</v>
      </c>
      <c r="J99">
        <f t="shared" ca="1" si="22"/>
        <v>-1.6564820801201439E-2</v>
      </c>
      <c r="K99" s="12">
        <f t="shared" si="17"/>
        <v>114.3587151691344</v>
      </c>
      <c r="L99" s="12">
        <f t="shared" si="18"/>
        <v>8.9774690449438893E-2</v>
      </c>
      <c r="M99" s="12">
        <f t="shared" si="23"/>
        <v>94.236339390305403</v>
      </c>
      <c r="N99" s="12">
        <f t="shared" si="24"/>
        <v>134.48109094796342</v>
      </c>
      <c r="O99" s="14">
        <f t="shared" si="25"/>
        <v>4.9046754538992404E-2</v>
      </c>
      <c r="P99" s="15">
        <f t="shared" si="19"/>
        <v>9.2605171450388761E-3</v>
      </c>
    </row>
    <row r="100" spans="1:16" x14ac:dyDescent="0.3">
      <c r="A100">
        <v>98</v>
      </c>
      <c r="B100" s="3">
        <v>44851</v>
      </c>
      <c r="C100">
        <v>91.71</v>
      </c>
      <c r="D100">
        <v>93.23</v>
      </c>
      <c r="E100">
        <v>90.84</v>
      </c>
      <c r="F100">
        <v>91.62</v>
      </c>
      <c r="G100" s="5">
        <f t="shared" si="20"/>
        <v>-4.7399124947758437E-5</v>
      </c>
      <c r="H100" s="5">
        <f t="shared" ca="1" si="21"/>
        <v>-33.014267101524304</v>
      </c>
      <c r="I100">
        <f t="shared" ca="1" si="16"/>
        <v>86.568403406394509</v>
      </c>
      <c r="J100">
        <f t="shared" ca="1" si="22"/>
        <v>3.0553127862370934E-3</v>
      </c>
      <c r="K100" s="12">
        <f t="shared" si="17"/>
        <v>114.32809123489717</v>
      </c>
      <c r="L100" s="12">
        <f t="shared" si="18"/>
        <v>9.0238129418765772E-2</v>
      </c>
      <c r="M100" s="12">
        <f t="shared" si="23"/>
        <v>94.107255172509156</v>
      </c>
      <c r="N100" s="12">
        <f t="shared" si="24"/>
        <v>134.54892729728519</v>
      </c>
      <c r="O100" s="14">
        <f t="shared" si="25"/>
        <v>4.9012814162555346E-2</v>
      </c>
      <c r="P100" s="15">
        <f t="shared" si="19"/>
        <v>9.2472582066465067E-3</v>
      </c>
    </row>
    <row r="101" spans="1:16" x14ac:dyDescent="0.3">
      <c r="A101">
        <v>99</v>
      </c>
      <c r="B101" s="3">
        <v>44852</v>
      </c>
      <c r="C101">
        <v>92.02</v>
      </c>
      <c r="D101">
        <v>92.65</v>
      </c>
      <c r="E101">
        <v>88.77</v>
      </c>
      <c r="F101">
        <v>90.03</v>
      </c>
      <c r="G101" s="5">
        <f t="shared" si="20"/>
        <v>-7.6030372955497591E-3</v>
      </c>
      <c r="H101" s="5">
        <f t="shared" ca="1" si="21"/>
        <v>-32.917595865355935</v>
      </c>
      <c r="I101">
        <f t="shared" ca="1" si="16"/>
        <v>86.640981283923551</v>
      </c>
      <c r="J101">
        <f t="shared" ca="1" si="22"/>
        <v>8.380363674458009E-4</v>
      </c>
      <c r="K101" s="12">
        <f t="shared" si="17"/>
        <v>114.29747550139346</v>
      </c>
      <c r="L101" s="12">
        <f t="shared" si="18"/>
        <v>9.0699238479621441E-2</v>
      </c>
      <c r="M101" s="12">
        <f t="shared" si="23"/>
        <v>93.97875528467911</v>
      </c>
      <c r="N101" s="12">
        <f t="shared" si="24"/>
        <v>134.61619571810783</v>
      </c>
      <c r="O101" s="14">
        <f t="shared" si="25"/>
        <v>5.3034212154120346E-2</v>
      </c>
      <c r="P101" s="15">
        <f t="shared" si="19"/>
        <v>1.0743195644273838E-2</v>
      </c>
    </row>
    <row r="102" spans="1:16" x14ac:dyDescent="0.3">
      <c r="A102">
        <v>100</v>
      </c>
      <c r="B102" s="3">
        <v>44853</v>
      </c>
      <c r="C102">
        <v>90.79</v>
      </c>
      <c r="D102">
        <v>92.84</v>
      </c>
      <c r="E102">
        <v>89.38</v>
      </c>
      <c r="F102">
        <v>92.41</v>
      </c>
      <c r="G102" s="5">
        <f t="shared" si="20"/>
        <v>1.133172009970583E-2</v>
      </c>
      <c r="H102" s="5">
        <f t="shared" ca="1" si="21"/>
        <v>-32.327830210077416</v>
      </c>
      <c r="I102">
        <f t="shared" ca="1" si="16"/>
        <v>87.103461215222623</v>
      </c>
      <c r="J102">
        <f t="shared" ca="1" si="22"/>
        <v>5.3236928552692865E-3</v>
      </c>
      <c r="K102" s="12">
        <f t="shared" si="17"/>
        <v>114.26686796642723</v>
      </c>
      <c r="L102" s="12">
        <f t="shared" si="18"/>
        <v>9.1158052991601554E-2</v>
      </c>
      <c r="M102" s="12">
        <f t="shared" si="23"/>
        <v>93.85083136410212</v>
      </c>
      <c r="N102" s="12">
        <f t="shared" si="24"/>
        <v>134.68290456875235</v>
      </c>
      <c r="O102" s="14">
        <f t="shared" si="25"/>
        <v>4.690464647507319E-2</v>
      </c>
      <c r="P102" s="15">
        <f t="shared" si="19"/>
        <v>8.5010895630106848E-3</v>
      </c>
    </row>
    <row r="103" spans="1:16" x14ac:dyDescent="0.3">
      <c r="A103">
        <v>101</v>
      </c>
      <c r="B103" s="3">
        <v>44854</v>
      </c>
      <c r="C103">
        <v>92.51</v>
      </c>
      <c r="D103">
        <v>94.77</v>
      </c>
      <c r="E103">
        <v>91.92</v>
      </c>
      <c r="F103">
        <v>92.38</v>
      </c>
      <c r="G103" s="5">
        <f t="shared" si="20"/>
        <v>-1.4101233369299444E-4</v>
      </c>
      <c r="H103" s="5">
        <f t="shared" ca="1" si="21"/>
        <v>-33.731587433122975</v>
      </c>
      <c r="I103">
        <f t="shared" ca="1" si="16"/>
        <v>85.994671194865319</v>
      </c>
      <c r="J103">
        <f t="shared" ca="1" si="22"/>
        <v>-1.2811289992268975E-2</v>
      </c>
      <c r="K103" s="12">
        <f t="shared" si="17"/>
        <v>114.23626862780296</v>
      </c>
      <c r="L103" s="12">
        <f t="shared" si="18"/>
        <v>9.1614607431777212E-2</v>
      </c>
      <c r="M103" s="12">
        <f t="shared" si="23"/>
        <v>93.723475254380816</v>
      </c>
      <c r="N103" s="12">
        <f t="shared" si="24"/>
        <v>134.7490620012251</v>
      </c>
      <c r="O103" s="14">
        <f t="shared" si="25"/>
        <v>4.6920576588712917E-2</v>
      </c>
      <c r="P103" s="15">
        <f t="shared" si="19"/>
        <v>8.5056445043084367E-3</v>
      </c>
    </row>
    <row r="104" spans="1:16" x14ac:dyDescent="0.3">
      <c r="A104">
        <v>102</v>
      </c>
      <c r="B104" s="3">
        <v>44855</v>
      </c>
      <c r="C104">
        <v>92.79</v>
      </c>
      <c r="D104">
        <v>93.8</v>
      </c>
      <c r="E104">
        <v>91.02</v>
      </c>
      <c r="F104">
        <v>93.5</v>
      </c>
      <c r="G104" s="5">
        <f t="shared" si="20"/>
        <v>5.2336529619899088E-3</v>
      </c>
      <c r="H104" s="5">
        <f t="shared" ca="1" si="21"/>
        <v>-33.614965478139567</v>
      </c>
      <c r="I104">
        <f t="shared" ca="1" si="16"/>
        <v>86.082389801442858</v>
      </c>
      <c r="J104">
        <f t="shared" ca="1" si="22"/>
        <v>1.0195271080039577E-3</v>
      </c>
      <c r="K104" s="12">
        <f t="shared" si="17"/>
        <v>114.20567748332579</v>
      </c>
      <c r="L104" s="12">
        <f t="shared" si="18"/>
        <v>9.2068935425211773E-2</v>
      </c>
      <c r="M104" s="12">
        <f t="shared" si="23"/>
        <v>93.596678998332209</v>
      </c>
      <c r="N104" s="12">
        <f t="shared" si="24"/>
        <v>134.81467596831936</v>
      </c>
      <c r="O104" s="14">
        <f t="shared" si="25"/>
        <v>4.4081373930844422E-2</v>
      </c>
      <c r="P104" s="15">
        <f t="shared" si="19"/>
        <v>7.5474538957876931E-3</v>
      </c>
    </row>
    <row r="105" spans="1:16" x14ac:dyDescent="0.3">
      <c r="A105">
        <v>103</v>
      </c>
      <c r="B105" s="3">
        <v>44858</v>
      </c>
      <c r="C105">
        <v>93.61</v>
      </c>
      <c r="D105">
        <v>94.44</v>
      </c>
      <c r="E105">
        <v>91.21</v>
      </c>
      <c r="F105">
        <v>93.26</v>
      </c>
      <c r="G105" s="5">
        <f t="shared" si="20"/>
        <v>-1.1161997540445109E-3</v>
      </c>
      <c r="H105" s="5">
        <f t="shared" ca="1" si="21"/>
        <v>-32.811444927629289</v>
      </c>
      <c r="I105">
        <f t="shared" ca="1" si="16"/>
        <v>86.710334022916712</v>
      </c>
      <c r="J105">
        <f t="shared" ca="1" si="22"/>
        <v>7.2682109748029872E-3</v>
      </c>
      <c r="K105" s="12">
        <f t="shared" si="17"/>
        <v>114.17509453080142</v>
      </c>
      <c r="L105" s="12">
        <f t="shared" si="18"/>
        <v>9.252106977413678E-2</v>
      </c>
      <c r="M105" s="12">
        <f t="shared" si="23"/>
        <v>93.470434831197664</v>
      </c>
      <c r="N105" s="12">
        <f t="shared" si="24"/>
        <v>134.87975423040518</v>
      </c>
      <c r="O105" s="14">
        <f t="shared" si="25"/>
        <v>4.4613988658860786E-2</v>
      </c>
      <c r="P105" s="15">
        <f t="shared" si="19"/>
        <v>7.7221858807719288E-3</v>
      </c>
    </row>
    <row r="106" spans="1:16" x14ac:dyDescent="0.3">
      <c r="A106">
        <v>104</v>
      </c>
      <c r="B106" s="3">
        <v>44859</v>
      </c>
      <c r="C106">
        <v>93.56</v>
      </c>
      <c r="D106">
        <v>94.37</v>
      </c>
      <c r="E106">
        <v>91.63</v>
      </c>
      <c r="F106">
        <v>93.52</v>
      </c>
      <c r="G106" s="5">
        <f t="shared" si="20"/>
        <v>1.2090870353104167E-3</v>
      </c>
      <c r="H106" s="5">
        <f t="shared" ca="1" si="21"/>
        <v>-32.726928548885951</v>
      </c>
      <c r="I106">
        <f t="shared" ca="1" si="16"/>
        <v>86.773435636622992</v>
      </c>
      <c r="J106">
        <f t="shared" ca="1" si="22"/>
        <v>7.2746420731953896E-4</v>
      </c>
      <c r="K106" s="12">
        <f t="shared" si="17"/>
        <v>114.14451976803613</v>
      </c>
      <c r="L106" s="12">
        <f t="shared" si="18"/>
        <v>9.2971042485854596E-2</v>
      </c>
      <c r="M106" s="12">
        <f t="shared" si="23"/>
        <v>93.344735174148283</v>
      </c>
      <c r="N106" s="12">
        <f t="shared" si="24"/>
        <v>134.944304361924</v>
      </c>
      <c r="O106" s="14">
        <f t="shared" si="25"/>
        <v>4.3914135459987035E-2</v>
      </c>
      <c r="P106" s="15">
        <f t="shared" si="19"/>
        <v>7.4910006671704615E-3</v>
      </c>
    </row>
    <row r="107" spans="1:16" x14ac:dyDescent="0.3">
      <c r="A107">
        <v>105</v>
      </c>
      <c r="B107" s="3">
        <v>44860</v>
      </c>
      <c r="C107">
        <v>93.25</v>
      </c>
      <c r="D107">
        <v>96.19</v>
      </c>
      <c r="E107">
        <v>92.04</v>
      </c>
      <c r="F107">
        <v>95.69</v>
      </c>
      <c r="G107" s="5">
        <f t="shared" si="20"/>
        <v>9.962056428295403E-3</v>
      </c>
      <c r="H107" s="5">
        <f t="shared" ca="1" si="21"/>
        <v>-33.167675347417415</v>
      </c>
      <c r="I107">
        <f t="shared" ca="1" si="16"/>
        <v>86.422642187180955</v>
      </c>
      <c r="J107">
        <f t="shared" ca="1" si="22"/>
        <v>-4.0508299441527722E-3</v>
      </c>
      <c r="K107" s="12">
        <f t="shared" si="17"/>
        <v>114.1139531928368</v>
      </c>
      <c r="L107" s="12">
        <f t="shared" si="18"/>
        <v>9.3418884799441174E-2</v>
      </c>
      <c r="M107" s="12">
        <f t="shared" si="23"/>
        <v>93.21957262806913</v>
      </c>
      <c r="N107" s="12">
        <f t="shared" si="24"/>
        <v>135.00833375760448</v>
      </c>
      <c r="O107" s="14">
        <f t="shared" si="25"/>
        <v>3.8605425447927513E-2</v>
      </c>
      <c r="P107" s="15">
        <f t="shared" si="19"/>
        <v>5.8479967756244807E-3</v>
      </c>
    </row>
    <row r="108" spans="1:16" x14ac:dyDescent="0.3">
      <c r="A108">
        <v>106</v>
      </c>
      <c r="B108" s="3">
        <v>44861</v>
      </c>
      <c r="C108">
        <v>96.16</v>
      </c>
      <c r="D108">
        <v>97.28</v>
      </c>
      <c r="E108">
        <v>95.08</v>
      </c>
      <c r="F108">
        <v>96.96</v>
      </c>
      <c r="G108" s="5">
        <f t="shared" si="20"/>
        <v>5.726052240131823E-3</v>
      </c>
      <c r="H108" s="5">
        <f t="shared" ca="1" si="21"/>
        <v>-34.574967377399993</v>
      </c>
      <c r="I108">
        <f t="shared" ca="1" si="16"/>
        <v>85.319775119235089</v>
      </c>
      <c r="J108">
        <f t="shared" ca="1" si="22"/>
        <v>-1.2843445962922145E-2</v>
      </c>
      <c r="K108" s="12">
        <f t="shared" si="17"/>
        <v>114.08339480301092</v>
      </c>
      <c r="L108" s="12">
        <f t="shared" si="18"/>
        <v>9.3864627211299734E-2</v>
      </c>
      <c r="M108" s="12">
        <f t="shared" si="23"/>
        <v>93.094939967609974</v>
      </c>
      <c r="N108" s="12">
        <f t="shared" si="24"/>
        <v>135.07184963841186</v>
      </c>
      <c r="O108" s="14">
        <f t="shared" si="25"/>
        <v>3.5553252853862273E-2</v>
      </c>
      <c r="P108" s="15">
        <f t="shared" si="19"/>
        <v>4.9885727824216684E-3</v>
      </c>
    </row>
    <row r="109" spans="1:16" x14ac:dyDescent="0.3">
      <c r="A109">
        <v>107</v>
      </c>
      <c r="B109" s="3">
        <v>44862</v>
      </c>
      <c r="C109">
        <v>96.78</v>
      </c>
      <c r="D109">
        <v>96.89</v>
      </c>
      <c r="E109">
        <v>95</v>
      </c>
      <c r="F109">
        <v>95.77</v>
      </c>
      <c r="G109" s="5">
        <f t="shared" si="20"/>
        <v>-5.3631194022102256E-3</v>
      </c>
      <c r="H109" s="5">
        <f t="shared" ca="1" si="21"/>
        <v>-34.030920776972692</v>
      </c>
      <c r="I109">
        <f t="shared" ca="1" si="16"/>
        <v>85.739535760605506</v>
      </c>
      <c r="J109">
        <f t="shared" ca="1" si="22"/>
        <v>4.9077887868749104E-3</v>
      </c>
      <c r="K109" s="12">
        <f t="shared" si="17"/>
        <v>114.05284459636651</v>
      </c>
      <c r="L109" s="12">
        <f t="shared" si="18"/>
        <v>9.430829949963776E-2</v>
      </c>
      <c r="M109" s="12">
        <f t="shared" si="23"/>
        <v>92.970830135486153</v>
      </c>
      <c r="N109" s="12">
        <f t="shared" si="24"/>
        <v>135.13485905724687</v>
      </c>
      <c r="O109" s="14">
        <f t="shared" si="25"/>
        <v>3.8297751252362913E-2</v>
      </c>
      <c r="P109" s="15">
        <f t="shared" si="19"/>
        <v>5.7572635997742289E-3</v>
      </c>
    </row>
    <row r="110" spans="1:16" x14ac:dyDescent="0.3">
      <c r="A110">
        <v>108</v>
      </c>
      <c r="B110" s="3">
        <v>44865</v>
      </c>
      <c r="C110">
        <v>96</v>
      </c>
      <c r="D110">
        <v>96</v>
      </c>
      <c r="E110">
        <v>94.32</v>
      </c>
      <c r="F110">
        <v>94.83</v>
      </c>
      <c r="G110" s="5">
        <f t="shared" si="20"/>
        <v>-4.2837368607585831E-3</v>
      </c>
      <c r="H110" s="5">
        <f t="shared" ca="1" si="21"/>
        <v>-34.601412269906803</v>
      </c>
      <c r="I110">
        <f t="shared" ca="1" si="16"/>
        <v>85.292193777544767</v>
      </c>
      <c r="J110">
        <f t="shared" ca="1" si="22"/>
        <v>-5.2311112607780754E-3</v>
      </c>
      <c r="K110" s="12">
        <f t="shared" si="17"/>
        <v>114.02230257071223</v>
      </c>
      <c r="L110" s="12">
        <f t="shared" si="18"/>
        <v>9.4749930747913158E-2</v>
      </c>
      <c r="M110" s="12">
        <f t="shared" si="23"/>
        <v>92.847236237018762</v>
      </c>
      <c r="N110" s="12">
        <f t="shared" si="24"/>
        <v>135.19736890440569</v>
      </c>
      <c r="O110" s="14">
        <f t="shared" si="25"/>
        <v>4.0488747014963453E-2</v>
      </c>
      <c r="P110" s="15">
        <f t="shared" si="19"/>
        <v>6.4070509580345979E-3</v>
      </c>
    </row>
    <row r="111" spans="1:16" x14ac:dyDescent="0.3">
      <c r="A111">
        <v>109</v>
      </c>
      <c r="B111" s="3">
        <v>44866</v>
      </c>
      <c r="C111">
        <v>92.8</v>
      </c>
      <c r="D111">
        <v>95.55</v>
      </c>
      <c r="E111">
        <v>92.36</v>
      </c>
      <c r="F111">
        <v>94.65</v>
      </c>
      <c r="G111" s="5">
        <f t="shared" si="20"/>
        <v>-8.2513225942657984E-4</v>
      </c>
      <c r="H111" s="5">
        <f t="shared" ca="1" si="21"/>
        <v>-33.864484900262411</v>
      </c>
      <c r="I111">
        <f t="shared" ca="1" si="16"/>
        <v>85.862343028633433</v>
      </c>
      <c r="J111">
        <f t="shared" ca="1" si="22"/>
        <v>6.6624159744558759E-3</v>
      </c>
      <c r="K111" s="12">
        <f t="shared" si="17"/>
        <v>113.99176872385729</v>
      </c>
      <c r="L111" s="12">
        <f t="shared" si="18"/>
        <v>9.5189549367306753E-2</v>
      </c>
      <c r="M111" s="12">
        <f t="shared" si="23"/>
        <v>92.724151534901083</v>
      </c>
      <c r="N111" s="12">
        <f t="shared" si="24"/>
        <v>135.25938591281351</v>
      </c>
      <c r="O111" s="14">
        <f t="shared" si="25"/>
        <v>4.086434465649539E-2</v>
      </c>
      <c r="P111" s="15">
        <f t="shared" si="19"/>
        <v>6.5210266639452279E-3</v>
      </c>
    </row>
    <row r="112" spans="1:16" x14ac:dyDescent="0.3">
      <c r="A112">
        <v>110</v>
      </c>
      <c r="B112" s="3">
        <v>44867</v>
      </c>
      <c r="C112">
        <v>94.67</v>
      </c>
      <c r="D112">
        <v>96.47</v>
      </c>
      <c r="E112">
        <v>93.99</v>
      </c>
      <c r="F112">
        <v>96.16</v>
      </c>
      <c r="G112" s="5">
        <f t="shared" si="20"/>
        <v>6.8738363588486924E-3</v>
      </c>
      <c r="H112" s="5">
        <f t="shared" ca="1" si="21"/>
        <v>-33.837822501566123</v>
      </c>
      <c r="I112">
        <f t="shared" ca="1" si="16"/>
        <v>85.879617633693798</v>
      </c>
      <c r="J112">
        <f t="shared" ca="1" si="22"/>
        <v>2.011693013403055E-4</v>
      </c>
      <c r="K112" s="12">
        <f t="shared" si="17"/>
        <v>113.96124305361153</v>
      </c>
      <c r="L112" s="12">
        <f t="shared" si="18"/>
        <v>9.5627183118269926E-2</v>
      </c>
      <c r="M112" s="12">
        <f t="shared" si="23"/>
        <v>92.601569444179702</v>
      </c>
      <c r="N112" s="12">
        <f t="shared" si="24"/>
        <v>135.32091666304333</v>
      </c>
      <c r="O112" s="14">
        <f t="shared" si="25"/>
        <v>3.71976446579338E-2</v>
      </c>
      <c r="P112" s="15">
        <f t="shared" si="19"/>
        <v>5.4409393166261581E-3</v>
      </c>
    </row>
    <row r="113" spans="1:16" x14ac:dyDescent="0.3">
      <c r="A113">
        <v>111</v>
      </c>
      <c r="B113" s="3">
        <v>44868</v>
      </c>
      <c r="C113">
        <v>95.66</v>
      </c>
      <c r="D113">
        <v>95.94</v>
      </c>
      <c r="E113">
        <v>94.16</v>
      </c>
      <c r="F113">
        <v>94.67</v>
      </c>
      <c r="G113" s="5">
        <f t="shared" si="20"/>
        <v>-6.7820775412871619E-3</v>
      </c>
      <c r="H113" s="5">
        <f t="shared" ca="1" si="21"/>
        <v>-33.397213255249802</v>
      </c>
      <c r="I113">
        <f t="shared" ca="1" si="16"/>
        <v>86.22096355211886</v>
      </c>
      <c r="J113">
        <f t="shared" ca="1" si="22"/>
        <v>3.9668240941726661E-3</v>
      </c>
      <c r="K113" s="12">
        <f t="shared" si="17"/>
        <v>113.93072555778531</v>
      </c>
      <c r="L113" s="12">
        <f t="shared" si="18"/>
        <v>9.6062859131189227E-2</v>
      </c>
      <c r="M113" s="12">
        <f t="shared" si="23"/>
        <v>92.479483527440749</v>
      </c>
      <c r="N113" s="12">
        <f t="shared" si="24"/>
        <v>135.38196758812987</v>
      </c>
      <c r="O113" s="14">
        <f t="shared" si="25"/>
        <v>4.0698300935922145E-2</v>
      </c>
      <c r="P113" s="15">
        <f t="shared" si="19"/>
        <v>6.4687413662388232E-3</v>
      </c>
    </row>
    <row r="114" spans="1:16" x14ac:dyDescent="0.3">
      <c r="A114">
        <v>112</v>
      </c>
      <c r="B114" s="3">
        <v>44869</v>
      </c>
      <c r="C114">
        <v>94.48</v>
      </c>
      <c r="D114">
        <v>98.82</v>
      </c>
      <c r="E114">
        <v>94.34</v>
      </c>
      <c r="F114">
        <v>98.57</v>
      </c>
      <c r="G114" s="5">
        <f t="shared" si="20"/>
        <v>1.7532379437085171E-2</v>
      </c>
      <c r="H114" s="5">
        <f t="shared" ca="1" si="21"/>
        <v>-35.484395388573439</v>
      </c>
      <c r="I114">
        <f t="shared" ca="1" si="16"/>
        <v>84.595829681558712</v>
      </c>
      <c r="J114">
        <f t="shared" ca="1" si="22"/>
        <v>-1.9028373909506555E-2</v>
      </c>
      <c r="K114" s="12">
        <f t="shared" si="17"/>
        <v>113.90021623418963</v>
      </c>
      <c r="L114" s="12">
        <f t="shared" si="18"/>
        <v>9.6496603926218172E-2</v>
      </c>
      <c r="M114" s="12">
        <f t="shared" si="23"/>
        <v>92.357887490189682</v>
      </c>
      <c r="N114" s="12">
        <f t="shared" si="24"/>
        <v>135.4425449781896</v>
      </c>
      <c r="O114" s="14">
        <f t="shared" si="25"/>
        <v>3.148837974701945E-2</v>
      </c>
      <c r="P114" s="15">
        <f t="shared" si="19"/>
        <v>3.9413022851975173E-3</v>
      </c>
    </row>
    <row r="115" spans="1:16" x14ac:dyDescent="0.3">
      <c r="A115">
        <v>113</v>
      </c>
      <c r="B115" s="3">
        <v>44872</v>
      </c>
      <c r="C115">
        <v>97.78</v>
      </c>
      <c r="D115">
        <v>99.56</v>
      </c>
      <c r="E115">
        <v>96.7</v>
      </c>
      <c r="F115">
        <v>97.92</v>
      </c>
      <c r="G115" s="5">
        <f t="shared" si="20"/>
        <v>-2.8733517529763203E-3</v>
      </c>
      <c r="H115" s="5">
        <f t="shared" ca="1" si="21"/>
        <v>-35.786759585388353</v>
      </c>
      <c r="I115">
        <f t="shared" ca="1" si="16"/>
        <v>84.35997007304276</v>
      </c>
      <c r="J115">
        <f t="shared" ca="1" si="22"/>
        <v>-2.7919699953582416E-3</v>
      </c>
      <c r="K115" s="12">
        <f t="shared" si="17"/>
        <v>113.86971508063608</v>
      </c>
      <c r="L115" s="12">
        <f t="shared" si="18"/>
        <v>9.692844343231502E-2</v>
      </c>
      <c r="M115" s="12">
        <f t="shared" si="23"/>
        <v>92.236775176415449</v>
      </c>
      <c r="N115" s="12">
        <f t="shared" si="24"/>
        <v>135.50265498485672</v>
      </c>
      <c r="O115" s="14">
        <f t="shared" si="25"/>
        <v>3.2918665173861827E-2</v>
      </c>
      <c r="P115" s="15">
        <f t="shared" si="19"/>
        <v>4.2950759788211784E-3</v>
      </c>
    </row>
    <row r="116" spans="1:16" x14ac:dyDescent="0.3">
      <c r="A116">
        <v>114</v>
      </c>
      <c r="B116" s="3">
        <v>44873</v>
      </c>
      <c r="C116">
        <v>98</v>
      </c>
      <c r="D116">
        <v>98.27</v>
      </c>
      <c r="E116">
        <v>94.98</v>
      </c>
      <c r="F116">
        <v>95.36</v>
      </c>
      <c r="G116" s="5">
        <f t="shared" si="20"/>
        <v>-1.1505162405324773E-2</v>
      </c>
      <c r="H116" s="5">
        <f t="shared" ca="1" si="21"/>
        <v>-37.958819071079141</v>
      </c>
      <c r="I116">
        <f t="shared" ca="1" si="16"/>
        <v>82.706029023224502</v>
      </c>
      <c r="J116">
        <f t="shared" ca="1" si="22"/>
        <v>-1.9800499148729635E-2</v>
      </c>
      <c r="K116" s="12">
        <f t="shared" si="17"/>
        <v>113.8392220949368</v>
      </c>
      <c r="L116" s="12">
        <f t="shared" si="18"/>
        <v>9.7358403005518207E-2</v>
      </c>
      <c r="M116" s="12">
        <f t="shared" si="23"/>
        <v>92.116140564331843</v>
      </c>
      <c r="N116" s="12">
        <f t="shared" si="24"/>
        <v>135.56230362554174</v>
      </c>
      <c r="O116" s="14">
        <f t="shared" si="25"/>
        <v>3.8863791525493956E-2</v>
      </c>
      <c r="P116" s="15">
        <f t="shared" si="19"/>
        <v>5.9175597814598137E-3</v>
      </c>
    </row>
    <row r="117" spans="1:16" x14ac:dyDescent="0.3">
      <c r="A117">
        <v>115</v>
      </c>
      <c r="B117" s="3">
        <v>44874</v>
      </c>
      <c r="C117">
        <v>95.01</v>
      </c>
      <c r="D117">
        <v>95.69</v>
      </c>
      <c r="E117">
        <v>92.3</v>
      </c>
      <c r="F117">
        <v>92.65</v>
      </c>
      <c r="G117" s="5">
        <f t="shared" si="20"/>
        <v>-1.2520818741244815E-2</v>
      </c>
      <c r="H117" s="5">
        <f t="shared" ca="1" si="21"/>
        <v>-37.464761118894351</v>
      </c>
      <c r="I117">
        <f t="shared" ca="1" si="16"/>
        <v>83.075143877599004</v>
      </c>
      <c r="J117">
        <f t="shared" ca="1" si="22"/>
        <v>4.4530444303859194E-3</v>
      </c>
      <c r="K117" s="12">
        <f t="shared" si="17"/>
        <v>113.80873727490454</v>
      </c>
      <c r="L117" s="12">
        <f t="shared" si="18"/>
        <v>9.7786507446507409E-2</v>
      </c>
      <c r="M117" s="12">
        <f t="shared" si="23"/>
        <v>91.995977762284824</v>
      </c>
      <c r="N117" s="12">
        <f t="shared" si="24"/>
        <v>135.62149678752425</v>
      </c>
      <c r="O117" s="14">
        <f t="shared" si="25"/>
        <v>4.5417997813582259E-2</v>
      </c>
      <c r="P117" s="15">
        <f t="shared" si="19"/>
        <v>7.9798812645085794E-3</v>
      </c>
    </row>
    <row r="118" spans="1:16" x14ac:dyDescent="0.3">
      <c r="A118">
        <v>116</v>
      </c>
      <c r="B118" s="3">
        <v>44875</v>
      </c>
      <c r="C118">
        <v>92.54</v>
      </c>
      <c r="D118">
        <v>94.31</v>
      </c>
      <c r="E118">
        <v>91.69</v>
      </c>
      <c r="F118">
        <v>93.67</v>
      </c>
      <c r="G118" s="5">
        <f t="shared" si="20"/>
        <v>4.7550965751425615E-3</v>
      </c>
      <c r="H118" s="5">
        <f t="shared" ca="1" si="21"/>
        <v>-36.113405074766426</v>
      </c>
      <c r="I118">
        <f t="shared" ca="1" si="16"/>
        <v>84.099228266218674</v>
      </c>
      <c r="J118">
        <f t="shared" ca="1" si="22"/>
        <v>1.2251844414907122E-2</v>
      </c>
      <c r="K118" s="12">
        <f t="shared" si="17"/>
        <v>113.77826061835265</v>
      </c>
      <c r="L118" s="12">
        <f t="shared" si="18"/>
        <v>9.8212781017473036E-2</v>
      </c>
      <c r="M118" s="12">
        <f t="shared" si="23"/>
        <v>91.876281004820527</v>
      </c>
      <c r="N118" s="12">
        <f t="shared" si="24"/>
        <v>135.68024023188477</v>
      </c>
      <c r="O118" s="14">
        <f t="shared" si="25"/>
        <v>4.2837668747977065E-2</v>
      </c>
      <c r="P118" s="15">
        <f t="shared" si="19"/>
        <v>7.1332838280471246E-3</v>
      </c>
    </row>
    <row r="119" spans="1:16" x14ac:dyDescent="0.3">
      <c r="A119">
        <v>117</v>
      </c>
      <c r="B119" s="3">
        <v>44876</v>
      </c>
      <c r="C119">
        <v>93.27</v>
      </c>
      <c r="D119">
        <v>96.92</v>
      </c>
      <c r="E119">
        <v>93.27</v>
      </c>
      <c r="F119">
        <v>95.99</v>
      </c>
      <c r="G119" s="5">
        <f t="shared" si="20"/>
        <v>1.0625471444615781E-2</v>
      </c>
      <c r="H119" s="5">
        <f t="shared" ca="1" si="21"/>
        <v>-35.365704933764832</v>
      </c>
      <c r="I119">
        <f t="shared" ca="1" si="16"/>
        <v>84.669700121683675</v>
      </c>
      <c r="J119">
        <f t="shared" ca="1" si="22"/>
        <v>6.7604153633306057E-3</v>
      </c>
      <c r="K119" s="12">
        <f t="shared" si="17"/>
        <v>113.747792123095</v>
      </c>
      <c r="L119" s="12">
        <f t="shared" si="18"/>
        <v>9.8637247458341598E-2</v>
      </c>
      <c r="M119" s="12">
        <f t="shared" si="23"/>
        <v>91.757044648902976</v>
      </c>
      <c r="N119" s="12">
        <f t="shared" si="24"/>
        <v>135.738539597287</v>
      </c>
      <c r="O119" s="14">
        <f t="shared" si="25"/>
        <v>3.7188990693711586E-2</v>
      </c>
      <c r="P119" s="15">
        <f t="shared" si="19"/>
        <v>5.4341937237494297E-3</v>
      </c>
    </row>
    <row r="120" spans="1:16" x14ac:dyDescent="0.3">
      <c r="A120">
        <v>118</v>
      </c>
      <c r="B120" s="3">
        <v>44879</v>
      </c>
      <c r="C120">
        <v>95.97</v>
      </c>
      <c r="D120">
        <v>96.92</v>
      </c>
      <c r="E120">
        <v>92.49</v>
      </c>
      <c r="F120">
        <v>93.14</v>
      </c>
      <c r="G120" s="5">
        <f t="shared" si="20"/>
        <v>-1.308975807796227E-2</v>
      </c>
      <c r="H120" s="5">
        <f t="shared" ca="1" si="21"/>
        <v>-35.599525289436819</v>
      </c>
      <c r="I120">
        <f t="shared" ca="1" si="16"/>
        <v>84.486298728073024</v>
      </c>
      <c r="J120">
        <f t="shared" ca="1" si="22"/>
        <v>-2.1684299312101189E-3</v>
      </c>
      <c r="K120" s="12">
        <f t="shared" si="17"/>
        <v>113.71733178694612</v>
      </c>
      <c r="L120" s="12">
        <f t="shared" si="18"/>
        <v>9.905993000236811E-2</v>
      </c>
      <c r="M120" s="12">
        <f t="shared" si="23"/>
        <v>91.638263170279046</v>
      </c>
      <c r="N120" s="12">
        <f t="shared" si="24"/>
        <v>135.79640040361318</v>
      </c>
      <c r="O120" s="14">
        <f t="shared" si="25"/>
        <v>4.4024596149818192E-2</v>
      </c>
      <c r="P120" s="15">
        <f t="shared" si="19"/>
        <v>7.5152302111289706E-3</v>
      </c>
    </row>
    <row r="121" spans="1:16" x14ac:dyDescent="0.3">
      <c r="A121">
        <v>119</v>
      </c>
      <c r="B121" s="3">
        <v>44880</v>
      </c>
      <c r="C121">
        <v>92.53</v>
      </c>
      <c r="D121">
        <v>95.75</v>
      </c>
      <c r="E121">
        <v>91.53</v>
      </c>
      <c r="F121">
        <v>93.86</v>
      </c>
      <c r="G121" s="5">
        <f t="shared" si="20"/>
        <v>3.3443162797633431E-3</v>
      </c>
      <c r="H121" s="5">
        <f t="shared" ca="1" si="21"/>
        <v>-35.816914974571155</v>
      </c>
      <c r="I121">
        <f t="shared" ca="1" si="16"/>
        <v>84.315896269978978</v>
      </c>
      <c r="J121">
        <f t="shared" ca="1" si="22"/>
        <v>-2.0189609024802956E-3</v>
      </c>
      <c r="K121" s="12">
        <f t="shared" si="17"/>
        <v>113.68687960772108</v>
      </c>
      <c r="L121" s="12">
        <f t="shared" si="18"/>
        <v>9.9480851391140518E-2</v>
      </c>
      <c r="M121" s="12">
        <f t="shared" si="23"/>
        <v>91.519931159979848</v>
      </c>
      <c r="N121" s="12">
        <f t="shared" si="24"/>
        <v>135.85382805546234</v>
      </c>
      <c r="O121" s="14">
        <f t="shared" si="25"/>
        <v>4.21954967243666E-2</v>
      </c>
      <c r="P121" s="15">
        <f t="shared" si="19"/>
        <v>6.9271990389462128E-3</v>
      </c>
    </row>
    <row r="122" spans="1:16" x14ac:dyDescent="0.3">
      <c r="A122">
        <v>120</v>
      </c>
      <c r="B122" s="3">
        <v>44881</v>
      </c>
      <c r="C122">
        <v>93.76</v>
      </c>
      <c r="D122">
        <v>94.78</v>
      </c>
      <c r="E122">
        <v>91.68</v>
      </c>
      <c r="F122">
        <v>92.86</v>
      </c>
      <c r="G122" s="5">
        <f t="shared" si="20"/>
        <v>-4.6518705463206222E-3</v>
      </c>
      <c r="H122" s="5">
        <f t="shared" ca="1" si="21"/>
        <v>-35.370488426946025</v>
      </c>
      <c r="I122">
        <f t="shared" ca="1" si="16"/>
        <v>84.655506688035985</v>
      </c>
      <c r="J122">
        <f t="shared" ca="1" si="22"/>
        <v>4.0197438076114405E-3</v>
      </c>
      <c r="K122" s="12">
        <f t="shared" si="17"/>
        <v>113.65643558323556</v>
      </c>
      <c r="L122" s="12">
        <f t="shared" si="18"/>
        <v>9.990003388901661E-2</v>
      </c>
      <c r="M122" s="12">
        <f t="shared" si="23"/>
        <v>91.402043320954235</v>
      </c>
      <c r="N122" s="12">
        <f t="shared" si="24"/>
        <v>135.91082784551688</v>
      </c>
      <c r="O122" s="14">
        <f t="shared" si="25"/>
        <v>4.4600098302393608E-2</v>
      </c>
      <c r="P122" s="15">
        <f t="shared" si="19"/>
        <v>7.7027571065396965E-3</v>
      </c>
    </row>
    <row r="123" spans="1:16" x14ac:dyDescent="0.3">
      <c r="A123">
        <v>121</v>
      </c>
      <c r="B123" s="3">
        <v>44882</v>
      </c>
      <c r="C123">
        <v>92.8</v>
      </c>
      <c r="D123">
        <v>92.88</v>
      </c>
      <c r="E123">
        <v>89.54</v>
      </c>
      <c r="F123">
        <v>89.78</v>
      </c>
      <c r="G123" s="5">
        <f t="shared" si="20"/>
        <v>-1.4649078264521165E-2</v>
      </c>
      <c r="H123" s="5">
        <f t="shared" ca="1" si="21"/>
        <v>-35.265077291651096</v>
      </c>
      <c r="I123">
        <f t="shared" ca="1" si="16"/>
        <v>84.733217385881545</v>
      </c>
      <c r="J123">
        <f t="shared" ca="1" si="22"/>
        <v>9.1754281428571029E-4</v>
      </c>
      <c r="K123" s="12">
        <f t="shared" si="17"/>
        <v>113.62599971130582</v>
      </c>
      <c r="L123" s="12">
        <f t="shared" si="18"/>
        <v>0.10031749929702281</v>
      </c>
      <c r="M123" s="12">
        <f t="shared" si="23"/>
        <v>91.28459446482745</v>
      </c>
      <c r="N123" s="12">
        <f t="shared" si="24"/>
        <v>135.9674049577842</v>
      </c>
      <c r="O123" s="14">
        <f t="shared" si="25"/>
        <v>5.2375171316547842E-2</v>
      </c>
      <c r="P123" s="15">
        <f t="shared" si="19"/>
        <v>1.0464904581710344E-2</v>
      </c>
    </row>
    <row r="124" spans="1:16" x14ac:dyDescent="0.3">
      <c r="A124">
        <v>122</v>
      </c>
      <c r="B124" s="3">
        <v>44883</v>
      </c>
      <c r="C124">
        <v>89.98</v>
      </c>
      <c r="D124">
        <v>90.61</v>
      </c>
      <c r="E124">
        <v>85.79</v>
      </c>
      <c r="F124">
        <v>87.62</v>
      </c>
      <c r="G124" s="5">
        <f t="shared" si="20"/>
        <v>-1.0576352223477475E-2</v>
      </c>
      <c r="H124" s="5">
        <f t="shared" ca="1" si="21"/>
        <v>-35.479152606900691</v>
      </c>
      <c r="I124">
        <f t="shared" ca="1" si="16"/>
        <v>84.564866560126262</v>
      </c>
      <c r="J124">
        <f t="shared" ca="1" si="22"/>
        <v>-1.9888102372113137E-3</v>
      </c>
      <c r="K124" s="12">
        <f t="shared" si="17"/>
        <v>113.59557198974871</v>
      </c>
      <c r="L124" s="12">
        <f t="shared" si="18"/>
        <v>0.10073326896623036</v>
      </c>
      <c r="M124" s="12">
        <f t="shared" si="23"/>
        <v>91.167579508781074</v>
      </c>
      <c r="N124" s="12">
        <f t="shared" si="24"/>
        <v>136.02356447071634</v>
      </c>
      <c r="O124" s="14">
        <f t="shared" si="25"/>
        <v>5.8044870418788572E-2</v>
      </c>
      <c r="P124" s="15">
        <f t="shared" si="19"/>
        <v>1.2714401260598565E-2</v>
      </c>
    </row>
    <row r="125" spans="1:16" x14ac:dyDescent="0.3">
      <c r="A125">
        <v>123</v>
      </c>
      <c r="B125" s="3">
        <v>44886</v>
      </c>
      <c r="C125">
        <v>87.8</v>
      </c>
      <c r="D125">
        <v>88.04</v>
      </c>
      <c r="E125">
        <v>82.32</v>
      </c>
      <c r="F125">
        <v>87.45</v>
      </c>
      <c r="G125" s="5">
        <f t="shared" si="20"/>
        <v>-8.4343502746125594E-4</v>
      </c>
      <c r="H125" s="5">
        <f t="shared" ca="1" si="21"/>
        <v>-36.311241812993316</v>
      </c>
      <c r="I125">
        <f t="shared" ca="1" si="16"/>
        <v>83.92369878501637</v>
      </c>
      <c r="J125">
        <f t="shared" ca="1" si="22"/>
        <v>-7.6108532204355126E-3</v>
      </c>
      <c r="K125" s="12">
        <f t="shared" si="17"/>
        <v>113.56515241638161</v>
      </c>
      <c r="L125" s="12">
        <f t="shared" si="18"/>
        <v>0.10114736381064661</v>
      </c>
      <c r="M125" s="12">
        <f t="shared" si="23"/>
        <v>91.050993472545898</v>
      </c>
      <c r="N125" s="12">
        <f t="shared" si="24"/>
        <v>136.07931136021733</v>
      </c>
      <c r="O125" s="14">
        <f t="shared" si="25"/>
        <v>5.8444547820545048E-2</v>
      </c>
      <c r="P125" s="15">
        <f t="shared" si="19"/>
        <v>1.2878907481699176E-2</v>
      </c>
    </row>
    <row r="126" spans="1:16" x14ac:dyDescent="0.3">
      <c r="A126">
        <v>124</v>
      </c>
      <c r="B126" s="3">
        <v>44887</v>
      </c>
      <c r="C126">
        <v>87.65</v>
      </c>
      <c r="D126">
        <v>89.88</v>
      </c>
      <c r="E126">
        <v>87.37</v>
      </c>
      <c r="F126">
        <v>88.36</v>
      </c>
      <c r="G126" s="5">
        <f t="shared" si="20"/>
        <v>4.4958933847019638E-3</v>
      </c>
      <c r="H126" s="5">
        <f t="shared" ca="1" si="21"/>
        <v>-37.040818256529938</v>
      </c>
      <c r="I126">
        <f t="shared" ca="1" si="16"/>
        <v>83.365098516018406</v>
      </c>
      <c r="J126">
        <f t="shared" ca="1" si="22"/>
        <v>-6.678299493151572E-3</v>
      </c>
      <c r="K126" s="12">
        <f t="shared" si="17"/>
        <v>113.53474098902258</v>
      </c>
      <c r="L126" s="12">
        <f t="shared" si="18"/>
        <v>0.10155980431963237</v>
      </c>
      <c r="M126" s="12">
        <f t="shared" si="23"/>
        <v>90.934831475505035</v>
      </c>
      <c r="N126" s="12">
        <f t="shared" si="24"/>
        <v>136.13465050254013</v>
      </c>
      <c r="O126" s="14">
        <f t="shared" si="25"/>
        <v>5.593975443203842E-2</v>
      </c>
      <c r="P126" s="15">
        <f t="shared" si="19"/>
        <v>1.1853344570504324E-2</v>
      </c>
    </row>
    <row r="127" spans="1:16" x14ac:dyDescent="0.3">
      <c r="A127">
        <v>125</v>
      </c>
      <c r="B127" s="3">
        <v>44888</v>
      </c>
      <c r="C127">
        <v>88.41</v>
      </c>
      <c r="D127">
        <v>89.54</v>
      </c>
      <c r="E127">
        <v>84.12</v>
      </c>
      <c r="F127">
        <v>85.41</v>
      </c>
      <c r="G127" s="5">
        <f t="shared" si="20"/>
        <v>-1.4746985332779789E-2</v>
      </c>
      <c r="H127" s="5">
        <f t="shared" ca="1" si="21"/>
        <v>-37.392525186005415</v>
      </c>
      <c r="I127">
        <f t="shared" ca="1" si="16"/>
        <v>83.095363016830007</v>
      </c>
      <c r="J127">
        <f t="shared" ca="1" si="22"/>
        <v>-3.2408384885067244E-3</v>
      </c>
      <c r="K127" s="12">
        <f t="shared" si="17"/>
        <v>113.50433770549019</v>
      </c>
      <c r="L127" s="12">
        <f t="shared" si="18"/>
        <v>0.10197061056986702</v>
      </c>
      <c r="M127" s="12">
        <f t="shared" si="23"/>
        <v>90.819088733902063</v>
      </c>
      <c r="N127" s="12">
        <f t="shared" si="24"/>
        <v>136.18958667707832</v>
      </c>
      <c r="O127" s="14">
        <f t="shared" si="25"/>
        <v>6.3941589116406711E-2</v>
      </c>
      <c r="P127" s="15">
        <f t="shared" si="19"/>
        <v>1.5253173069848417E-2</v>
      </c>
    </row>
    <row r="128" spans="1:16" x14ac:dyDescent="0.3">
      <c r="A128">
        <v>126</v>
      </c>
      <c r="B128" s="3">
        <v>44890</v>
      </c>
      <c r="C128">
        <v>84.94</v>
      </c>
      <c r="D128">
        <v>86.9</v>
      </c>
      <c r="E128">
        <v>83.56</v>
      </c>
      <c r="F128">
        <v>83.63</v>
      </c>
      <c r="G128" s="5">
        <f t="shared" si="20"/>
        <v>-9.1466250818275346E-3</v>
      </c>
      <c r="H128" s="5">
        <f t="shared" ca="1" si="21"/>
        <v>-37.782347431638108</v>
      </c>
      <c r="I128">
        <f t="shared" ca="1" si="16"/>
        <v>82.797786551068327</v>
      </c>
      <c r="J128">
        <f t="shared" ca="1" si="22"/>
        <v>-3.587571707500928E-3</v>
      </c>
      <c r="K128" s="12">
        <f t="shared" si="17"/>
        <v>113.47394256360363</v>
      </c>
      <c r="L128" s="12">
        <f t="shared" si="18"/>
        <v>0.10237980223688817</v>
      </c>
      <c r="M128" s="12">
        <f t="shared" si="23"/>
        <v>90.703760558148204</v>
      </c>
      <c r="N128" s="12">
        <f t="shared" si="24"/>
        <v>136.24412456905907</v>
      </c>
      <c r="O128" s="14">
        <f t="shared" si="25"/>
        <v>6.8943331635975477E-2</v>
      </c>
      <c r="P128" s="15">
        <f t="shared" si="19"/>
        <v>1.7565273763448238E-2</v>
      </c>
    </row>
    <row r="129" spans="1:16" x14ac:dyDescent="0.3">
      <c r="A129">
        <v>127</v>
      </c>
      <c r="B129" s="3">
        <v>44893</v>
      </c>
      <c r="C129">
        <v>83.8</v>
      </c>
      <c r="D129">
        <v>84.05</v>
      </c>
      <c r="E129">
        <v>80.64</v>
      </c>
      <c r="F129">
        <v>83.19</v>
      </c>
      <c r="G129" s="5">
        <f t="shared" si="20"/>
        <v>-2.2909724872659291E-3</v>
      </c>
      <c r="H129" s="5">
        <f t="shared" ca="1" si="21"/>
        <v>-38.873124101605221</v>
      </c>
      <c r="I129">
        <f t="shared" ca="1" si="16"/>
        <v>81.976876023230815</v>
      </c>
      <c r="J129">
        <f t="shared" ca="1" si="22"/>
        <v>-9.9641207807159918E-3</v>
      </c>
      <c r="K129" s="12">
        <f t="shared" si="17"/>
        <v>113.44355556118263</v>
      </c>
      <c r="L129" s="12">
        <f t="shared" si="18"/>
        <v>0.10278739860621543</v>
      </c>
      <c r="M129" s="12">
        <f t="shared" si="23"/>
        <v>90.588842350226329</v>
      </c>
      <c r="N129" s="12">
        <f t="shared" si="24"/>
        <v>136.29826877213895</v>
      </c>
      <c r="O129" s="14">
        <f t="shared" si="25"/>
        <v>7.0158185162279979E-2</v>
      </c>
      <c r="P129" s="15">
        <f t="shared" si="19"/>
        <v>1.8146435327574616E-2</v>
      </c>
    </row>
    <row r="130" spans="1:16" x14ac:dyDescent="0.3">
      <c r="A130">
        <v>128</v>
      </c>
      <c r="B130" s="3">
        <v>44894</v>
      </c>
      <c r="C130">
        <v>82.33</v>
      </c>
      <c r="D130">
        <v>86</v>
      </c>
      <c r="E130">
        <v>82.19</v>
      </c>
      <c r="F130">
        <v>83.03</v>
      </c>
      <c r="G130" s="5">
        <f t="shared" si="20"/>
        <v>-8.3608637427326179E-4</v>
      </c>
      <c r="H130" s="5">
        <f t="shared" ca="1" si="21"/>
        <v>-37.477926486530961</v>
      </c>
      <c r="I130">
        <f t="shared" ref="I130:I193" ca="1" si="26">F$2*EXP((Mu-(0.5*(sigma^2))*A130)+sigma*H130)</f>
        <v>83.020525871494428</v>
      </c>
      <c r="J130">
        <f t="shared" ca="1" si="22"/>
        <v>1.2650669101478895E-2</v>
      </c>
      <c r="K130" s="12">
        <f t="shared" ref="K130:K193" si="27">($I$2*EXP(Mu*A130))</f>
        <v>113.41317669604757</v>
      </c>
      <c r="L130" s="12">
        <f t="shared" ref="L130:L193" si="28">SQRT(EXP((sigma^2)*A130)-1)</f>
        <v>0.10319341858408718</v>
      </c>
      <c r="M130" s="12">
        <f t="shared" si="23"/>
        <v>90.474329601184863</v>
      </c>
      <c r="N130" s="12">
        <f t="shared" si="24"/>
        <v>136.35202379091027</v>
      </c>
      <c r="O130" s="14">
        <f t="shared" si="25"/>
        <v>7.0563779096547374E-2</v>
      </c>
      <c r="P130" s="15">
        <f t="shared" ref="P130:P193" si="29">(LOG10(F130)-LOG10(K130))^2</f>
        <v>1.8340872450353984E-2</v>
      </c>
    </row>
    <row r="131" spans="1:16" x14ac:dyDescent="0.3">
      <c r="A131">
        <v>129</v>
      </c>
      <c r="B131" s="3">
        <v>44895</v>
      </c>
      <c r="C131">
        <v>83.58</v>
      </c>
      <c r="D131">
        <v>85.82</v>
      </c>
      <c r="E131">
        <v>83.51</v>
      </c>
      <c r="F131">
        <v>85.43</v>
      </c>
      <c r="G131" s="5">
        <f t="shared" ref="G131:G194" si="30">IFERROR(LOG10(F131/F130),0)</f>
        <v>1.2375368439711206E-2</v>
      </c>
      <c r="H131" s="5">
        <f t="shared" ref="H131:H194" ca="1" si="31">H130+(SQRT(DeltaT)*_xlfn.NORM.S.INV(RAND()))</f>
        <v>-38.30835395730351</v>
      </c>
      <c r="I131">
        <f t="shared" ca="1" si="26"/>
        <v>82.392312724612395</v>
      </c>
      <c r="J131">
        <f t="shared" ref="J131:J194" ca="1" si="32">IFERROR(LN(I131/I130),0)</f>
        <v>-7.5957364932315568E-3</v>
      </c>
      <c r="K131" s="12">
        <f t="shared" si="27"/>
        <v>113.38280596601938</v>
      </c>
      <c r="L131" s="12">
        <f t="shared" si="28"/>
        <v>0.10359788070780984</v>
      </c>
      <c r="M131" s="12">
        <f t="shared" ref="M131:M194" si="33">(1-1.96*L131)*K131</f>
        <v>90.360217888721905</v>
      </c>
      <c r="N131" s="12">
        <f t="shared" ref="N131:N194" si="34">(1+1.96*L131)*K131</f>
        <v>136.40539404331685</v>
      </c>
      <c r="O131" s="14">
        <f t="shared" ref="O131:O194" si="35">ABS((LOG10(F131)-LOG10(K131))/LOG10(F131))</f>
        <v>6.3644715217195835E-2</v>
      </c>
      <c r="P131" s="15">
        <f t="shared" si="29"/>
        <v>1.5113455373961669E-2</v>
      </c>
    </row>
    <row r="132" spans="1:16" x14ac:dyDescent="0.3">
      <c r="A132">
        <v>130</v>
      </c>
      <c r="B132" s="3">
        <v>44896</v>
      </c>
      <c r="C132">
        <v>86.6</v>
      </c>
      <c r="D132">
        <v>89.41</v>
      </c>
      <c r="E132">
        <v>86.25</v>
      </c>
      <c r="F132">
        <v>86.88</v>
      </c>
      <c r="G132" s="5">
        <f t="shared" si="30"/>
        <v>7.309405881809671E-3</v>
      </c>
      <c r="H132" s="5">
        <f t="shared" ca="1" si="31"/>
        <v>-37.630494080738039</v>
      </c>
      <c r="I132">
        <f t="shared" ca="1" si="26"/>
        <v>82.898521080779531</v>
      </c>
      <c r="J132">
        <f t="shared" ca="1" si="32"/>
        <v>6.1250817981190146E-3</v>
      </c>
      <c r="K132" s="12">
        <f t="shared" si="27"/>
        <v>113.35244336891955</v>
      </c>
      <c r="L132" s="12">
        <f t="shared" si="28"/>
        <v>0.10400080315575838</v>
      </c>
      <c r="M132" s="12">
        <f t="shared" si="33"/>
        <v>90.246502874850464</v>
      </c>
      <c r="N132" s="12">
        <f t="shared" si="34"/>
        <v>136.45838386298863</v>
      </c>
      <c r="O132" s="14">
        <f t="shared" si="35"/>
        <v>5.9574961803543894E-2</v>
      </c>
      <c r="P132" s="15">
        <f t="shared" si="29"/>
        <v>1.3342808159944517E-2</v>
      </c>
    </row>
    <row r="133" spans="1:16" x14ac:dyDescent="0.3">
      <c r="A133">
        <v>131</v>
      </c>
      <c r="B133" s="3">
        <v>44897</v>
      </c>
      <c r="C133">
        <v>87.13</v>
      </c>
      <c r="D133">
        <v>87.89</v>
      </c>
      <c r="E133">
        <v>85.19</v>
      </c>
      <c r="F133">
        <v>85.57</v>
      </c>
      <c r="G133" s="5">
        <f t="shared" si="30"/>
        <v>-6.5982802554785686E-3</v>
      </c>
      <c r="H133" s="5">
        <f t="shared" ca="1" si="31"/>
        <v>-36.31839808422977</v>
      </c>
      <c r="I133">
        <f t="shared" ca="1" si="26"/>
        <v>83.890461644126916</v>
      </c>
      <c r="J133">
        <f t="shared" ca="1" si="32"/>
        <v>1.1894697628222234E-2</v>
      </c>
      <c r="K133" s="12">
        <f t="shared" si="27"/>
        <v>113.32208890257017</v>
      </c>
      <c r="L133" s="12">
        <f t="shared" si="28"/>
        <v>0.1044022037570238</v>
      </c>
      <c r="M133" s="12">
        <f t="shared" si="33"/>
        <v>90.133180303645887</v>
      </c>
      <c r="N133" s="12">
        <f t="shared" si="34"/>
        <v>136.51099750149444</v>
      </c>
      <c r="O133" s="14">
        <f t="shared" si="35"/>
        <v>6.3132888291830655E-2</v>
      </c>
      <c r="P133" s="15">
        <f t="shared" si="29"/>
        <v>1.4882301667656538E-2</v>
      </c>
    </row>
    <row r="134" spans="1:16" x14ac:dyDescent="0.3">
      <c r="A134">
        <v>132</v>
      </c>
      <c r="B134" s="3">
        <v>44900</v>
      </c>
      <c r="C134">
        <v>85.52</v>
      </c>
      <c r="D134">
        <v>88.43</v>
      </c>
      <c r="E134">
        <v>82.54</v>
      </c>
      <c r="F134">
        <v>82.68</v>
      </c>
      <c r="G134" s="5">
        <f t="shared" si="30"/>
        <v>-1.4921064034042468E-2</v>
      </c>
      <c r="H134" s="5">
        <f t="shared" ca="1" si="31"/>
        <v>-35.283636936947666</v>
      </c>
      <c r="I134">
        <f t="shared" ca="1" si="26"/>
        <v>84.680361519677831</v>
      </c>
      <c r="J134">
        <f t="shared" ca="1" si="32"/>
        <v>9.3717956899363949E-3</v>
      </c>
      <c r="K134" s="12">
        <f t="shared" si="27"/>
        <v>113.29174256479396</v>
      </c>
      <c r="L134" s="12">
        <f t="shared" si="28"/>
        <v>0.1048021000007319</v>
      </c>
      <c r="M134" s="12">
        <f t="shared" si="33"/>
        <v>90.020245999069857</v>
      </c>
      <c r="N134" s="12">
        <f t="shared" si="34"/>
        <v>136.5632391305181</v>
      </c>
      <c r="O134" s="14">
        <f t="shared" si="35"/>
        <v>7.1345444603854197E-2</v>
      </c>
      <c r="P134" s="15">
        <f t="shared" si="29"/>
        <v>1.8713635039695229E-2</v>
      </c>
    </row>
    <row r="135" spans="1:16" x14ac:dyDescent="0.3">
      <c r="A135">
        <v>133</v>
      </c>
      <c r="B135" s="3">
        <v>44901</v>
      </c>
      <c r="C135">
        <v>83.09</v>
      </c>
      <c r="D135">
        <v>83.67</v>
      </c>
      <c r="E135">
        <v>78.709999999999994</v>
      </c>
      <c r="F135">
        <v>79.349999999999994</v>
      </c>
      <c r="G135" s="5">
        <f t="shared" si="30"/>
        <v>-1.7853536864383686E-2</v>
      </c>
      <c r="H135" s="5">
        <f t="shared" ca="1" si="31"/>
        <v>-33.854102421844097</v>
      </c>
      <c r="I135">
        <f t="shared" ca="1" si="26"/>
        <v>85.785221301212758</v>
      </c>
      <c r="J135">
        <f t="shared" ca="1" si="32"/>
        <v>1.2963030248591773E-2</v>
      </c>
      <c r="K135" s="12">
        <f t="shared" si="27"/>
        <v>113.26140435341416</v>
      </c>
      <c r="L135" s="12">
        <f t="shared" si="28"/>
        <v>0.10520050904504484</v>
      </c>
      <c r="M135" s="12">
        <f t="shared" si="33"/>
        <v>89.907695862867939</v>
      </c>
      <c r="N135" s="12">
        <f t="shared" si="34"/>
        <v>136.61511284396039</v>
      </c>
      <c r="O135" s="14">
        <f t="shared" si="35"/>
        <v>8.1353615758483558E-2</v>
      </c>
      <c r="P135" s="15">
        <f t="shared" si="29"/>
        <v>2.38810696702569E-2</v>
      </c>
    </row>
    <row r="136" spans="1:16" x14ac:dyDescent="0.3">
      <c r="A136">
        <v>134</v>
      </c>
      <c r="B136" s="3">
        <v>44902</v>
      </c>
      <c r="C136">
        <v>79.790000000000006</v>
      </c>
      <c r="D136">
        <v>80.48</v>
      </c>
      <c r="E136">
        <v>76.94</v>
      </c>
      <c r="F136">
        <v>77.17</v>
      </c>
      <c r="G136" s="5">
        <f t="shared" si="30"/>
        <v>-1.2098430840913291E-2</v>
      </c>
      <c r="H136" s="5">
        <f t="shared" ca="1" si="31"/>
        <v>-34.76824538834871</v>
      </c>
      <c r="I136">
        <f t="shared" ca="1" si="26"/>
        <v>85.071276602801575</v>
      </c>
      <c r="J136">
        <f t="shared" ca="1" si="32"/>
        <v>-8.3572923778824967E-3</v>
      </c>
      <c r="K136" s="12">
        <f t="shared" si="27"/>
        <v>113.23107426625462</v>
      </c>
      <c r="L136" s="12">
        <f t="shared" si="28"/>
        <v>0.10559744772585863</v>
      </c>
      <c r="M136" s="12">
        <f t="shared" si="33"/>
        <v>89.795525872538292</v>
      </c>
      <c r="N136" s="12">
        <f t="shared" si="34"/>
        <v>136.66662265997095</v>
      </c>
      <c r="O136" s="14">
        <f t="shared" si="35"/>
        <v>8.8223401792906622E-2</v>
      </c>
      <c r="P136" s="15">
        <f t="shared" si="29"/>
        <v>2.7727953717871102E-2</v>
      </c>
    </row>
    <row r="137" spans="1:16" x14ac:dyDescent="0.3">
      <c r="A137">
        <v>135</v>
      </c>
      <c r="B137" s="3">
        <v>44903</v>
      </c>
      <c r="C137">
        <v>77.489999999999995</v>
      </c>
      <c r="D137">
        <v>79.180000000000007</v>
      </c>
      <c r="E137">
        <v>75.760000000000005</v>
      </c>
      <c r="F137">
        <v>76.150000000000006</v>
      </c>
      <c r="G137" s="5">
        <f t="shared" si="30"/>
        <v>-5.7785925778922947E-3</v>
      </c>
      <c r="H137" s="5">
        <f t="shared" ca="1" si="31"/>
        <v>-35.9689303487568</v>
      </c>
      <c r="I137">
        <f t="shared" ca="1" si="26"/>
        <v>84.143653769426891</v>
      </c>
      <c r="J137">
        <f t="shared" ca="1" si="32"/>
        <v>-1.096395127356951E-2</v>
      </c>
      <c r="K137" s="12">
        <f t="shared" si="27"/>
        <v>113.20075230113976</v>
      </c>
      <c r="L137" s="12">
        <f t="shared" si="28"/>
        <v>0.10599293256521108</v>
      </c>
      <c r="M137" s="12">
        <f t="shared" si="33"/>
        <v>89.683732079367445</v>
      </c>
      <c r="N137" s="12">
        <f t="shared" si="34"/>
        <v>136.71777252291207</v>
      </c>
      <c r="O137" s="14">
        <f t="shared" si="35"/>
        <v>9.1503512220568739E-2</v>
      </c>
      <c r="P137" s="15">
        <f t="shared" si="29"/>
        <v>2.9645747641055528E-2</v>
      </c>
    </row>
    <row r="138" spans="1:16" x14ac:dyDescent="0.3">
      <c r="A138">
        <v>136</v>
      </c>
      <c r="B138" s="3">
        <v>44904</v>
      </c>
      <c r="C138">
        <v>76.73</v>
      </c>
      <c r="D138">
        <v>77.47</v>
      </c>
      <c r="E138">
        <v>75.11</v>
      </c>
      <c r="F138">
        <v>76.099999999999994</v>
      </c>
      <c r="G138" s="5">
        <f t="shared" si="30"/>
        <v>-2.8525090148863246E-4</v>
      </c>
      <c r="H138" s="5">
        <f t="shared" ca="1" si="31"/>
        <v>-36.086263661253305</v>
      </c>
      <c r="I138">
        <f t="shared" ca="1" si="26"/>
        <v>84.050410955721787</v>
      </c>
      <c r="J138">
        <f t="shared" ca="1" si="32"/>
        <v>-1.1087528374997078E-3</v>
      </c>
      <c r="K138" s="12">
        <f t="shared" si="27"/>
        <v>113.17043845589458</v>
      </c>
      <c r="L138" s="12">
        <f t="shared" si="28"/>
        <v>0.1063869797794037</v>
      </c>
      <c r="M138" s="12">
        <f t="shared" si="33"/>
        <v>89.572310606532909</v>
      </c>
      <c r="N138" s="12">
        <f t="shared" si="34"/>
        <v>136.76856630525626</v>
      </c>
      <c r="O138" s="14">
        <f t="shared" si="35"/>
        <v>9.1607179364350755E-2</v>
      </c>
      <c r="P138" s="15">
        <f t="shared" si="29"/>
        <v>2.9703950888849279E-2</v>
      </c>
    </row>
    <row r="139" spans="1:16" x14ac:dyDescent="0.3">
      <c r="A139">
        <v>137</v>
      </c>
      <c r="B139" s="3">
        <v>44907</v>
      </c>
      <c r="C139">
        <v>76.67</v>
      </c>
      <c r="D139">
        <v>78.58</v>
      </c>
      <c r="E139">
        <v>75.260000000000005</v>
      </c>
      <c r="F139">
        <v>77.989999999999995</v>
      </c>
      <c r="G139" s="5">
        <f t="shared" si="30"/>
        <v>1.0654263570718804E-2</v>
      </c>
      <c r="H139" s="5">
        <f t="shared" ca="1" si="31"/>
        <v>-36.188131499641386</v>
      </c>
      <c r="I139">
        <f t="shared" ca="1" si="26"/>
        <v>83.969084136819831</v>
      </c>
      <c r="J139">
        <f t="shared" ca="1" si="32"/>
        <v>-9.6806415479867305E-4</v>
      </c>
      <c r="K139" s="12">
        <f t="shared" si="27"/>
        <v>113.14013272834471</v>
      </c>
      <c r="L139" s="12">
        <f t="shared" si="28"/>
        <v>0.10677960528686244</v>
      </c>
      <c r="M139" s="12">
        <f t="shared" si="33"/>
        <v>89.461257647266393</v>
      </c>
      <c r="N139" s="12">
        <f t="shared" si="34"/>
        <v>136.81900780942303</v>
      </c>
      <c r="O139" s="14">
        <f t="shared" si="35"/>
        <v>8.5398752536833961E-2</v>
      </c>
      <c r="P139" s="15">
        <f t="shared" si="29"/>
        <v>2.6107373673265322E-2</v>
      </c>
    </row>
    <row r="140" spans="1:16" x14ac:dyDescent="0.3">
      <c r="A140">
        <v>138</v>
      </c>
      <c r="B140" s="3">
        <v>44908</v>
      </c>
      <c r="C140">
        <v>78.19</v>
      </c>
      <c r="D140">
        <v>81.28</v>
      </c>
      <c r="E140">
        <v>78.040000000000006</v>
      </c>
      <c r="F140">
        <v>80.680000000000007</v>
      </c>
      <c r="G140" s="5">
        <f t="shared" si="30"/>
        <v>1.4726969199436338E-2</v>
      </c>
      <c r="H140" s="5">
        <f t="shared" ca="1" si="31"/>
        <v>-37.303794662784419</v>
      </c>
      <c r="I140">
        <f t="shared" ca="1" si="26"/>
        <v>83.117741351960731</v>
      </c>
      <c r="J140">
        <f t="shared" ca="1" si="32"/>
        <v>-1.0190512025977318E-2</v>
      </c>
      <c r="K140" s="12">
        <f t="shared" si="27"/>
        <v>113.10983511631629</v>
      </c>
      <c r="L140" s="12">
        <f t="shared" si="28"/>
        <v>0.1071708247157377</v>
      </c>
      <c r="M140" s="12">
        <f t="shared" si="33"/>
        <v>89.350569463077903</v>
      </c>
      <c r="N140" s="12">
        <f t="shared" si="34"/>
        <v>136.86910076955468</v>
      </c>
      <c r="O140" s="14">
        <f t="shared" si="35"/>
        <v>7.6954638514681609E-2</v>
      </c>
      <c r="P140" s="15">
        <f t="shared" si="29"/>
        <v>2.1531007550946151E-2</v>
      </c>
    </row>
    <row r="141" spans="1:16" x14ac:dyDescent="0.3">
      <c r="A141">
        <v>139</v>
      </c>
      <c r="B141" s="3">
        <v>44909</v>
      </c>
      <c r="C141">
        <v>80.34</v>
      </c>
      <c r="D141">
        <v>83.14</v>
      </c>
      <c r="E141">
        <v>80.13</v>
      </c>
      <c r="F141">
        <v>82.7</v>
      </c>
      <c r="G141" s="5">
        <f t="shared" si="30"/>
        <v>1.0739620011818799E-2</v>
      </c>
      <c r="H141" s="5">
        <f t="shared" ca="1" si="31"/>
        <v>-37.129777604538354</v>
      </c>
      <c r="I141">
        <f t="shared" ca="1" si="26"/>
        <v>83.245978444040361</v>
      </c>
      <c r="J141">
        <f t="shared" ca="1" si="32"/>
        <v>1.5416476336915976E-3</v>
      </c>
      <c r="K141" s="12">
        <f t="shared" si="27"/>
        <v>113.07954561763609</v>
      </c>
      <c r="L141" s="12">
        <f t="shared" si="28"/>
        <v>0.10756065341125466</v>
      </c>
      <c r="M141" s="12">
        <f t="shared" si="33"/>
        <v>89.240242382037877</v>
      </c>
      <c r="N141" s="12">
        <f t="shared" si="34"/>
        <v>136.91884885323429</v>
      </c>
      <c r="O141" s="14">
        <f t="shared" si="35"/>
        <v>7.0862140674894117E-2</v>
      </c>
      <c r="P141" s="15">
        <f t="shared" si="29"/>
        <v>1.8462979035558283E-2</v>
      </c>
    </row>
    <row r="142" spans="1:16" x14ac:dyDescent="0.3">
      <c r="A142">
        <v>140</v>
      </c>
      <c r="B142" s="3">
        <v>44910</v>
      </c>
      <c r="C142">
        <v>82.84</v>
      </c>
      <c r="D142">
        <v>83.19</v>
      </c>
      <c r="E142">
        <v>80.83</v>
      </c>
      <c r="F142">
        <v>81.209999999999994</v>
      </c>
      <c r="G142" s="5">
        <f t="shared" si="30"/>
        <v>-7.8959990623778537E-3</v>
      </c>
      <c r="H142" s="5">
        <f t="shared" ca="1" si="31"/>
        <v>-37.741497803031542</v>
      </c>
      <c r="I142">
        <f t="shared" ca="1" si="26"/>
        <v>82.780593332702594</v>
      </c>
      <c r="J142">
        <f t="shared" ca="1" si="32"/>
        <v>-5.6061668351432446E-3</v>
      </c>
      <c r="K142" s="12">
        <f t="shared" si="27"/>
        <v>113.04926423013146</v>
      </c>
      <c r="L142" s="12">
        <f t="shared" si="28"/>
        <v>0.10794910644283021</v>
      </c>
      <c r="M142" s="12">
        <f t="shared" si="33"/>
        <v>89.130272797113747</v>
      </c>
      <c r="N142" s="12">
        <f t="shared" si="34"/>
        <v>136.96825566314917</v>
      </c>
      <c r="O142" s="14">
        <f t="shared" si="35"/>
        <v>7.5229112993464117E-2</v>
      </c>
      <c r="P142" s="15">
        <f t="shared" si="29"/>
        <v>2.0637686942741186E-2</v>
      </c>
    </row>
    <row r="143" spans="1:16" x14ac:dyDescent="0.3">
      <c r="A143">
        <v>141</v>
      </c>
      <c r="B143" s="3">
        <v>44911</v>
      </c>
      <c r="C143">
        <v>81.34</v>
      </c>
      <c r="D143">
        <v>81.760000000000005</v>
      </c>
      <c r="E143">
        <v>78.28</v>
      </c>
      <c r="F143">
        <v>79.040000000000006</v>
      </c>
      <c r="G143" s="5">
        <f t="shared" si="30"/>
        <v>-1.1762578910597083E-2</v>
      </c>
      <c r="H143" s="5">
        <f t="shared" ca="1" si="31"/>
        <v>-38.424003363558519</v>
      </c>
      <c r="I143">
        <f t="shared" ca="1" si="26"/>
        <v>82.264820015335744</v>
      </c>
      <c r="J143">
        <f t="shared" ca="1" si="32"/>
        <v>-6.2500979082687497E-3</v>
      </c>
      <c r="K143" s="12">
        <f t="shared" si="27"/>
        <v>113.0189909516303</v>
      </c>
      <c r="L143" s="12">
        <f t="shared" si="28"/>
        <v>0.10833619861095725</v>
      </c>
      <c r="M143" s="12">
        <f t="shared" si="33"/>
        <v>89.020657164560532</v>
      </c>
      <c r="N143" s="12">
        <f t="shared" si="34"/>
        <v>137.01732473870007</v>
      </c>
      <c r="O143" s="14">
        <f t="shared" si="35"/>
        <v>8.1831938802504015E-2</v>
      </c>
      <c r="P143" s="15">
        <f t="shared" si="29"/>
        <v>2.4119485844649877E-2</v>
      </c>
    </row>
    <row r="144" spans="1:16" x14ac:dyDescent="0.3">
      <c r="A144">
        <v>142</v>
      </c>
      <c r="B144" s="3">
        <v>44914</v>
      </c>
      <c r="C144">
        <v>79.09</v>
      </c>
      <c r="D144">
        <v>80.89</v>
      </c>
      <c r="E144">
        <v>78.63</v>
      </c>
      <c r="F144">
        <v>79.8</v>
      </c>
      <c r="G144" s="5">
        <f t="shared" si="30"/>
        <v>4.1559597711577035E-3</v>
      </c>
      <c r="H144" s="5">
        <f t="shared" ca="1" si="31"/>
        <v>-40.310302491944405</v>
      </c>
      <c r="I144">
        <f t="shared" ca="1" si="26"/>
        <v>80.861887374897066</v>
      </c>
      <c r="J144">
        <f t="shared" ca="1" si="32"/>
        <v>-1.7200950764019E-2</v>
      </c>
      <c r="K144" s="12">
        <f t="shared" si="27"/>
        <v>112.98872577996114</v>
      </c>
      <c r="L144" s="12">
        <f t="shared" si="28"/>
        <v>0.10872194445387597</v>
      </c>
      <c r="M144" s="12">
        <f t="shared" si="33"/>
        <v>88.911392002361353</v>
      </c>
      <c r="N144" s="12">
        <f t="shared" si="34"/>
        <v>137.06605955756092</v>
      </c>
      <c r="O144" s="14">
        <f t="shared" si="35"/>
        <v>7.9406934810708416E-2</v>
      </c>
      <c r="P144" s="15">
        <f t="shared" si="29"/>
        <v>2.2810731358289257E-2</v>
      </c>
    </row>
    <row r="145" spans="1:16" x14ac:dyDescent="0.3">
      <c r="A145">
        <v>143</v>
      </c>
      <c r="B145" s="3">
        <v>44915</v>
      </c>
      <c r="C145">
        <v>80.28</v>
      </c>
      <c r="D145">
        <v>80.900000000000006</v>
      </c>
      <c r="E145">
        <v>78.3</v>
      </c>
      <c r="F145">
        <v>79.989999999999995</v>
      </c>
      <c r="G145" s="5">
        <f t="shared" si="30"/>
        <v>1.0328054377678406E-3</v>
      </c>
      <c r="H145" s="5">
        <f t="shared" ca="1" si="31"/>
        <v>-38.690404644652048</v>
      </c>
      <c r="I145">
        <f t="shared" ca="1" si="26"/>
        <v>82.058906527011274</v>
      </c>
      <c r="J145">
        <f t="shared" ca="1" si="32"/>
        <v>1.4694756431210777E-2</v>
      </c>
      <c r="K145" s="12">
        <f t="shared" si="27"/>
        <v>112.95846871295304</v>
      </c>
      <c r="L145" s="12">
        <f t="shared" si="28"/>
        <v>0.10910635825402348</v>
      </c>
      <c r="M145" s="12">
        <f t="shared" si="33"/>
        <v>88.802473888719177</v>
      </c>
      <c r="N145" s="12">
        <f t="shared" si="34"/>
        <v>137.11446353718688</v>
      </c>
      <c r="O145" s="14">
        <f t="shared" si="35"/>
        <v>7.8760004256000243E-2</v>
      </c>
      <c r="P145" s="15">
        <f t="shared" si="29"/>
        <v>2.2464943539223299E-2</v>
      </c>
    </row>
    <row r="146" spans="1:16" x14ac:dyDescent="0.3">
      <c r="A146">
        <v>144</v>
      </c>
      <c r="B146" s="3">
        <v>44916</v>
      </c>
      <c r="C146">
        <v>79.95</v>
      </c>
      <c r="D146">
        <v>82.54</v>
      </c>
      <c r="E146">
        <v>79.599999999999994</v>
      </c>
      <c r="F146">
        <v>82.2</v>
      </c>
      <c r="G146" s="5">
        <f t="shared" si="30"/>
        <v>1.1836120751553152E-2</v>
      </c>
      <c r="H146" s="5">
        <f t="shared" ca="1" si="31"/>
        <v>-37.096886642599593</v>
      </c>
      <c r="I146">
        <f t="shared" ca="1" si="26"/>
        <v>83.253664163857749</v>
      </c>
      <c r="J146">
        <f t="shared" ca="1" si="32"/>
        <v>1.4454780233220457E-2</v>
      </c>
      <c r="K146" s="12">
        <f t="shared" si="27"/>
        <v>112.92821974843568</v>
      </c>
      <c r="L146" s="12">
        <f t="shared" si="28"/>
        <v>0.10948945404429135</v>
      </c>
      <c r="M146" s="12">
        <f t="shared" si="33"/>
        <v>88.693899460593713</v>
      </c>
      <c r="N146" s="12">
        <f t="shared" si="34"/>
        <v>137.16254003627765</v>
      </c>
      <c r="O146" s="14">
        <f t="shared" si="35"/>
        <v>7.2031278008418562E-2</v>
      </c>
      <c r="P146" s="15">
        <f t="shared" si="29"/>
        <v>1.9024868137608477E-2</v>
      </c>
    </row>
    <row r="147" spans="1:16" x14ac:dyDescent="0.3">
      <c r="A147">
        <v>145</v>
      </c>
      <c r="B147" s="3">
        <v>44917</v>
      </c>
      <c r="C147">
        <v>82.37</v>
      </c>
      <c r="D147">
        <v>83.86</v>
      </c>
      <c r="E147">
        <v>80.680000000000007</v>
      </c>
      <c r="F147">
        <v>80.98</v>
      </c>
      <c r="G147" s="5">
        <f t="shared" si="30"/>
        <v>-6.4940451076557918E-3</v>
      </c>
      <c r="H147" s="5">
        <f t="shared" ca="1" si="31"/>
        <v>-36.267577739508468</v>
      </c>
      <c r="I147">
        <f t="shared" ca="1" si="26"/>
        <v>83.880649420826344</v>
      </c>
      <c r="J147">
        <f t="shared" ca="1" si="32"/>
        <v>7.502806392194316E-3</v>
      </c>
      <c r="K147" s="12">
        <f t="shared" si="27"/>
        <v>112.89797888423929</v>
      </c>
      <c r="L147" s="12">
        <f t="shared" si="28"/>
        <v>0.10987124561408537</v>
      </c>
      <c r="M147" s="12">
        <f t="shared" si="33"/>
        <v>88.585665412284101</v>
      </c>
      <c r="N147" s="12">
        <f t="shared" si="34"/>
        <v>137.21029235619449</v>
      </c>
      <c r="O147" s="14">
        <f t="shared" si="35"/>
        <v>7.5618358610579972E-2</v>
      </c>
      <c r="P147" s="15">
        <f t="shared" si="29"/>
        <v>2.0824912798280897E-2</v>
      </c>
    </row>
    <row r="148" spans="1:16" x14ac:dyDescent="0.3">
      <c r="A148">
        <v>146</v>
      </c>
      <c r="B148" s="3">
        <v>44918</v>
      </c>
      <c r="C148">
        <v>81.73</v>
      </c>
      <c r="D148">
        <v>84.37</v>
      </c>
      <c r="E148">
        <v>81.34</v>
      </c>
      <c r="F148">
        <v>83.92</v>
      </c>
      <c r="G148" s="5">
        <f t="shared" si="30"/>
        <v>1.5487702753106809E-2</v>
      </c>
      <c r="H148" s="5">
        <f t="shared" ca="1" si="31"/>
        <v>-36.966039358864379</v>
      </c>
      <c r="I148">
        <f t="shared" ca="1" si="26"/>
        <v>83.345923422086955</v>
      </c>
      <c r="J148">
        <f t="shared" ca="1" si="32"/>
        <v>-6.3952494168486003E-3</v>
      </c>
      <c r="K148" s="12">
        <f t="shared" si="27"/>
        <v>112.86774611819473</v>
      </c>
      <c r="L148" s="12">
        <f t="shared" si="28"/>
        <v>0.11025174651518897</v>
      </c>
      <c r="M148" s="12">
        <f t="shared" si="33"/>
        <v>88.477768494057457</v>
      </c>
      <c r="N148" s="12">
        <f t="shared" si="34"/>
        <v>137.25772374233199</v>
      </c>
      <c r="O148" s="14">
        <f t="shared" si="35"/>
        <v>6.6898844581438188E-2</v>
      </c>
      <c r="P148" s="15">
        <f t="shared" si="29"/>
        <v>1.6564816767077425E-2</v>
      </c>
    </row>
    <row r="149" spans="1:16" x14ac:dyDescent="0.3">
      <c r="A149">
        <v>147</v>
      </c>
      <c r="B149" s="3">
        <v>44922</v>
      </c>
      <c r="C149">
        <v>84.46</v>
      </c>
      <c r="D149">
        <v>85.67</v>
      </c>
      <c r="E149">
        <v>83.66</v>
      </c>
      <c r="F149">
        <v>84.33</v>
      </c>
      <c r="G149" s="5">
        <f t="shared" si="30"/>
        <v>2.1166251416016402E-3</v>
      </c>
      <c r="H149" s="5">
        <f t="shared" ca="1" si="31"/>
        <v>-36.723495565075901</v>
      </c>
      <c r="I149">
        <f t="shared" ca="1" si="26"/>
        <v>83.526565498167969</v>
      </c>
      <c r="J149">
        <f t="shared" ca="1" si="32"/>
        <v>2.1650320890053568E-3</v>
      </c>
      <c r="K149" s="12">
        <f t="shared" si="27"/>
        <v>112.83752144813339</v>
      </c>
      <c r="L149" s="12">
        <f t="shared" si="28"/>
        <v>0.11063097006746075</v>
      </c>
      <c r="M149" s="12">
        <f t="shared" si="33"/>
        <v>88.370205510816163</v>
      </c>
      <c r="N149" s="12">
        <f t="shared" si="34"/>
        <v>137.30483738545058</v>
      </c>
      <c r="O149" s="14">
        <f t="shared" si="35"/>
        <v>6.5665946568159855E-2</v>
      </c>
      <c r="P149" s="15">
        <f t="shared" si="29"/>
        <v>1.5995024551707378E-2</v>
      </c>
    </row>
    <row r="150" spans="1:16" x14ac:dyDescent="0.3">
      <c r="A150">
        <v>148</v>
      </c>
      <c r="B150" s="3">
        <v>44923</v>
      </c>
      <c r="C150">
        <v>84.6</v>
      </c>
      <c r="D150">
        <v>84.64</v>
      </c>
      <c r="E150">
        <v>81.95</v>
      </c>
      <c r="F150">
        <v>83.26</v>
      </c>
      <c r="G150" s="5">
        <f t="shared" si="30"/>
        <v>-5.545693776344539E-3</v>
      </c>
      <c r="H150" s="5">
        <f t="shared" ca="1" si="31"/>
        <v>-36.721837158354923</v>
      </c>
      <c r="I150">
        <f t="shared" ca="1" si="26"/>
        <v>83.524369544725715</v>
      </c>
      <c r="J150">
        <f t="shared" ca="1" si="32"/>
        <v>-2.629082491294952E-5</v>
      </c>
      <c r="K150" s="12">
        <f t="shared" si="27"/>
        <v>112.80730487188725</v>
      </c>
      <c r="L150" s="12">
        <f t="shared" si="28"/>
        <v>0.11100892936434317</v>
      </c>
      <c r="M150" s="12">
        <f t="shared" si="33"/>
        <v>88.262973320808953</v>
      </c>
      <c r="N150" s="12">
        <f t="shared" si="34"/>
        <v>137.35163642296556</v>
      </c>
      <c r="O150" s="14">
        <f t="shared" si="35"/>
        <v>6.868273087857335E-2</v>
      </c>
      <c r="P150" s="15">
        <f t="shared" si="29"/>
        <v>1.7397825493753807E-2</v>
      </c>
    </row>
    <row r="151" spans="1:16" x14ac:dyDescent="0.3">
      <c r="A151">
        <v>149</v>
      </c>
      <c r="B151" s="3">
        <v>44924</v>
      </c>
      <c r="C151">
        <v>82.86</v>
      </c>
      <c r="D151">
        <v>82.91</v>
      </c>
      <c r="E151">
        <v>81.3</v>
      </c>
      <c r="F151">
        <v>82.26</v>
      </c>
      <c r="G151" s="5">
        <f t="shared" si="30"/>
        <v>-5.2477013776022954E-3</v>
      </c>
      <c r="H151" s="5">
        <f t="shared" ca="1" si="31"/>
        <v>-38.20122437583386</v>
      </c>
      <c r="I151">
        <f t="shared" ca="1" si="26"/>
        <v>82.404425883853705</v>
      </c>
      <c r="J151">
        <f t="shared" ca="1" si="32"/>
        <v>-1.3499292456008855E-2</v>
      </c>
      <c r="K151" s="12">
        <f t="shared" si="27"/>
        <v>112.77709638728889</v>
      </c>
      <c r="L151" s="12">
        <f t="shared" si="28"/>
        <v>0.11138563727821579</v>
      </c>
      <c r="M151" s="12">
        <f t="shared" si="33"/>
        <v>88.156068834378402</v>
      </c>
      <c r="N151" s="12">
        <f t="shared" si="34"/>
        <v>137.39812394019938</v>
      </c>
      <c r="O151" s="14">
        <f t="shared" si="35"/>
        <v>7.1550235911942123E-2</v>
      </c>
      <c r="P151" s="15">
        <f t="shared" si="29"/>
        <v>1.8777824842937635E-2</v>
      </c>
    </row>
    <row r="152" spans="1:16" x14ac:dyDescent="0.3">
      <c r="A152">
        <v>150</v>
      </c>
      <c r="B152" s="3">
        <v>44925</v>
      </c>
      <c r="C152">
        <v>83.66</v>
      </c>
      <c r="D152">
        <v>86.28</v>
      </c>
      <c r="E152">
        <v>82.88</v>
      </c>
      <c r="F152">
        <v>85.91</v>
      </c>
      <c r="G152" s="5">
        <f t="shared" si="30"/>
        <v>1.8855013862369055E-2</v>
      </c>
      <c r="H152" s="5">
        <f t="shared" ca="1" si="31"/>
        <v>-38.314779002868526</v>
      </c>
      <c r="I152">
        <f t="shared" ca="1" si="26"/>
        <v>82.315939897806686</v>
      </c>
      <c r="J152">
        <f t="shared" ca="1" si="32"/>
        <v>-1.0743783155003684E-3</v>
      </c>
      <c r="K152" s="12">
        <f t="shared" si="27"/>
        <v>112.74689599217147</v>
      </c>
      <c r="L152" s="12">
        <f t="shared" si="28"/>
        <v>0.11176110646558009</v>
      </c>
      <c r="M152" s="12">
        <f t="shared" si="33"/>
        <v>88.049489012747742</v>
      </c>
      <c r="N152" s="12">
        <f t="shared" si="34"/>
        <v>137.44430297159522</v>
      </c>
      <c r="O152" s="14">
        <f t="shared" si="35"/>
        <v>6.1043540050075104E-2</v>
      </c>
      <c r="P152" s="15">
        <f t="shared" si="29"/>
        <v>1.3938370258076344E-2</v>
      </c>
    </row>
    <row r="153" spans="1:16" x14ac:dyDescent="0.3">
      <c r="A153">
        <v>151</v>
      </c>
      <c r="B153" s="3">
        <v>44929</v>
      </c>
      <c r="C153">
        <v>86.04</v>
      </c>
      <c r="D153">
        <v>87.02</v>
      </c>
      <c r="E153">
        <v>81.77</v>
      </c>
      <c r="F153">
        <v>82.1</v>
      </c>
      <c r="G153" s="5">
        <f t="shared" si="30"/>
        <v>-1.9700561916084627E-2</v>
      </c>
      <c r="H153" s="5">
        <f t="shared" ca="1" si="31"/>
        <v>-38.355231147912718</v>
      </c>
      <c r="I153">
        <f t="shared" ca="1" si="26"/>
        <v>82.282249240370632</v>
      </c>
      <c r="J153">
        <f t="shared" ca="1" si="32"/>
        <v>-4.0936851228982716E-4</v>
      </c>
      <c r="K153" s="12">
        <f t="shared" si="27"/>
        <v>112.71670368436871</v>
      </c>
      <c r="L153" s="12">
        <f t="shared" si="28"/>
        <v>0.11213534937209102</v>
      </c>
      <c r="M153" s="12">
        <f t="shared" si="33"/>
        <v>87.943230866843109</v>
      </c>
      <c r="N153" s="12">
        <f t="shared" si="34"/>
        <v>137.49017650189433</v>
      </c>
      <c r="O153" s="14">
        <f t="shared" si="35"/>
        <v>7.1902010900505298E-2</v>
      </c>
      <c r="P153" s="15">
        <f t="shared" si="29"/>
        <v>1.8946179761944851E-2</v>
      </c>
    </row>
    <row r="154" spans="1:16" x14ac:dyDescent="0.3">
      <c r="A154">
        <v>152</v>
      </c>
      <c r="B154" s="3">
        <v>44930</v>
      </c>
      <c r="C154">
        <v>82.23</v>
      </c>
      <c r="D154">
        <v>82.67</v>
      </c>
      <c r="E154">
        <v>77.72</v>
      </c>
      <c r="F154">
        <v>77.84</v>
      </c>
      <c r="G154" s="5">
        <f t="shared" si="30"/>
        <v>-2.3140329859145225E-2</v>
      </c>
      <c r="H154" s="5">
        <f t="shared" ca="1" si="31"/>
        <v>-37.642841037191069</v>
      </c>
      <c r="I154">
        <f t="shared" ca="1" si="26"/>
        <v>82.813790754165723</v>
      </c>
      <c r="J154">
        <f t="shared" ca="1" si="32"/>
        <v>6.4392016965923709E-3</v>
      </c>
      <c r="K154" s="12">
        <f t="shared" si="27"/>
        <v>112.68651946171494</v>
      </c>
      <c r="L154" s="12">
        <f t="shared" si="28"/>
        <v>0.11250837823743874</v>
      </c>
      <c r="M154" s="12">
        <f t="shared" si="33"/>
        <v>87.83729145615105</v>
      </c>
      <c r="N154" s="12">
        <f t="shared" si="34"/>
        <v>137.53574746727881</v>
      </c>
      <c r="O154" s="14">
        <f t="shared" si="35"/>
        <v>8.4956058391311651E-2</v>
      </c>
      <c r="P154" s="15">
        <f t="shared" si="29"/>
        <v>2.581457184863814E-2</v>
      </c>
    </row>
    <row r="155" spans="1:16" x14ac:dyDescent="0.3">
      <c r="A155">
        <v>153</v>
      </c>
      <c r="B155" s="3">
        <v>44931</v>
      </c>
      <c r="C155">
        <v>78.09</v>
      </c>
      <c r="D155">
        <v>79.959999999999994</v>
      </c>
      <c r="E155">
        <v>77.61</v>
      </c>
      <c r="F155">
        <v>78.69</v>
      </c>
      <c r="G155" s="5">
        <f t="shared" si="30"/>
        <v>4.7167180497204508E-3</v>
      </c>
      <c r="H155" s="5">
        <f t="shared" ca="1" si="31"/>
        <v>-37.374109915610674</v>
      </c>
      <c r="I155">
        <f t="shared" ca="1" si="26"/>
        <v>83.013052916771869</v>
      </c>
      <c r="J155">
        <f t="shared" ca="1" si="32"/>
        <v>2.4032569649235992E-3</v>
      </c>
      <c r="K155" s="12">
        <f t="shared" si="27"/>
        <v>112.65634332204502</v>
      </c>
      <c r="L155" s="12">
        <f t="shared" si="28"/>
        <v>0.11288020510008798</v>
      </c>
      <c r="M155" s="12">
        <f t="shared" si="33"/>
        <v>87.731667887609021</v>
      </c>
      <c r="N155" s="12">
        <f t="shared" si="34"/>
        <v>137.581018756481</v>
      </c>
      <c r="O155" s="14">
        <f t="shared" si="35"/>
        <v>8.2195526477480754E-2</v>
      </c>
      <c r="P155" s="15">
        <f t="shared" si="29"/>
        <v>2.4284891679449389E-2</v>
      </c>
    </row>
    <row r="156" spans="1:16" x14ac:dyDescent="0.3">
      <c r="A156">
        <v>154</v>
      </c>
      <c r="B156" s="3">
        <v>44932</v>
      </c>
      <c r="C156">
        <v>78.81</v>
      </c>
      <c r="D156">
        <v>80.569999999999993</v>
      </c>
      <c r="E156">
        <v>78.05</v>
      </c>
      <c r="F156">
        <v>78.569999999999993</v>
      </c>
      <c r="G156" s="5">
        <f t="shared" si="30"/>
        <v>-6.6279216512143101E-4</v>
      </c>
      <c r="H156" s="5">
        <f t="shared" ca="1" si="31"/>
        <v>-37.606176581662815</v>
      </c>
      <c r="I156">
        <f t="shared" ca="1" si="26"/>
        <v>82.834561422869101</v>
      </c>
      <c r="J156">
        <f t="shared" ca="1" si="32"/>
        <v>-2.152476700112615E-3</v>
      </c>
      <c r="K156" s="12">
        <f t="shared" si="27"/>
        <v>112.62617526319444</v>
      </c>
      <c r="L156" s="12">
        <f t="shared" si="28"/>
        <v>0.11325084180187138</v>
      </c>
      <c r="M156" s="12">
        <f t="shared" si="33"/>
        <v>87.626357314529969</v>
      </c>
      <c r="N156" s="12">
        <f t="shared" si="34"/>
        <v>137.62599321185891</v>
      </c>
      <c r="O156" s="14">
        <f t="shared" si="35"/>
        <v>8.2512610760634153E-2</v>
      </c>
      <c r="P156" s="15">
        <f t="shared" si="29"/>
        <v>2.4455512191847977E-2</v>
      </c>
    </row>
    <row r="157" spans="1:16" x14ac:dyDescent="0.3">
      <c r="A157">
        <v>155</v>
      </c>
      <c r="B157" s="3">
        <v>44935</v>
      </c>
      <c r="C157">
        <v>78.48</v>
      </c>
      <c r="D157">
        <v>81.37</v>
      </c>
      <c r="E157">
        <v>78.34</v>
      </c>
      <c r="F157">
        <v>79.650000000000006</v>
      </c>
      <c r="G157" s="5">
        <f t="shared" si="30"/>
        <v>5.9290269922557806E-3</v>
      </c>
      <c r="H157" s="5">
        <f t="shared" ca="1" si="31"/>
        <v>-38.411088662561255</v>
      </c>
      <c r="I157">
        <f t="shared" ca="1" si="26"/>
        <v>82.226839106815333</v>
      </c>
      <c r="J157">
        <f t="shared" ca="1" si="32"/>
        <v>-7.3636242046058184E-3</v>
      </c>
      <c r="K157" s="12">
        <f t="shared" si="27"/>
        <v>112.59601528299923</v>
      </c>
      <c r="L157" s="12">
        <f t="shared" si="28"/>
        <v>0.11362029999245955</v>
      </c>
      <c r="M157" s="12">
        <f t="shared" si="33"/>
        <v>87.521356935555758</v>
      </c>
      <c r="N157" s="12">
        <f t="shared" si="34"/>
        <v>137.67067363044271</v>
      </c>
      <c r="O157" s="14">
        <f t="shared" si="35"/>
        <v>7.9075513163942748E-2</v>
      </c>
      <c r="P157" s="15">
        <f t="shared" si="29"/>
        <v>2.2601286086917211E-2</v>
      </c>
    </row>
    <row r="158" spans="1:16" x14ac:dyDescent="0.3">
      <c r="A158">
        <v>156</v>
      </c>
      <c r="B158" s="3">
        <v>44936</v>
      </c>
      <c r="C158">
        <v>79.709999999999994</v>
      </c>
      <c r="D158">
        <v>80.88</v>
      </c>
      <c r="E158">
        <v>78.81</v>
      </c>
      <c r="F158">
        <v>80.099999999999994</v>
      </c>
      <c r="G158" s="5">
        <f t="shared" si="30"/>
        <v>2.4467359470872821E-3</v>
      </c>
      <c r="H158" s="5">
        <f t="shared" ca="1" si="31"/>
        <v>-38.496451934862982</v>
      </c>
      <c r="I158">
        <f t="shared" ca="1" si="26"/>
        <v>82.159611389262096</v>
      </c>
      <c r="J158">
        <f t="shared" ca="1" si="32"/>
        <v>-8.1792290177562911E-4</v>
      </c>
      <c r="K158" s="12">
        <f t="shared" si="27"/>
        <v>112.56586337929605</v>
      </c>
      <c r="L158" s="12">
        <f t="shared" si="28"/>
        <v>0.11398859113369166</v>
      </c>
      <c r="M158" s="12">
        <f t="shared" si="33"/>
        <v>87.416663993643041</v>
      </c>
      <c r="N158" s="12">
        <f t="shared" si="34"/>
        <v>137.71506276494904</v>
      </c>
      <c r="O158" s="14">
        <f t="shared" si="35"/>
        <v>7.7627477678361687E-2</v>
      </c>
      <c r="P158" s="15">
        <f t="shared" si="29"/>
        <v>2.1837211422301748E-2</v>
      </c>
    </row>
    <row r="159" spans="1:16" x14ac:dyDescent="0.3">
      <c r="A159">
        <v>157</v>
      </c>
      <c r="B159" s="3">
        <v>44937</v>
      </c>
      <c r="C159">
        <v>79.59</v>
      </c>
      <c r="D159">
        <v>82.97</v>
      </c>
      <c r="E159">
        <v>79.3</v>
      </c>
      <c r="F159">
        <v>82.67</v>
      </c>
      <c r="G159" s="5">
        <f t="shared" si="30"/>
        <v>1.3715421543534013E-2</v>
      </c>
      <c r="H159" s="5">
        <f t="shared" ca="1" si="31"/>
        <v>-39.193211754318405</v>
      </c>
      <c r="I159">
        <f t="shared" ca="1" si="26"/>
        <v>81.637120568563617</v>
      </c>
      <c r="J159">
        <f t="shared" ca="1" si="32"/>
        <v>-6.3797682240610007E-3</v>
      </c>
      <c r="K159" s="12">
        <f t="shared" si="27"/>
        <v>112.53571954992211</v>
      </c>
      <c r="L159" s="12">
        <f t="shared" si="28"/>
        <v>0.11435572650378524</v>
      </c>
      <c r="M159" s="12">
        <f t="shared" si="33"/>
        <v>87.312275775077268</v>
      </c>
      <c r="N159" s="12">
        <f t="shared" si="34"/>
        <v>137.75916332476694</v>
      </c>
      <c r="O159" s="14">
        <f t="shared" si="35"/>
        <v>6.9858188955105399E-2</v>
      </c>
      <c r="P159" s="15">
        <f t="shared" si="29"/>
        <v>1.7940581122703639E-2</v>
      </c>
    </row>
    <row r="160" spans="1:16" x14ac:dyDescent="0.3">
      <c r="A160">
        <v>158</v>
      </c>
      <c r="B160" s="3">
        <v>44938</v>
      </c>
      <c r="C160">
        <v>82.86</v>
      </c>
      <c r="D160">
        <v>84.61</v>
      </c>
      <c r="E160">
        <v>82.38</v>
      </c>
      <c r="F160">
        <v>84.03</v>
      </c>
      <c r="G160" s="5">
        <f t="shared" si="30"/>
        <v>7.0864259154589816E-3</v>
      </c>
      <c r="H160" s="5">
        <f t="shared" ca="1" si="31"/>
        <v>-39.934710119170134</v>
      </c>
      <c r="I160">
        <f t="shared" ca="1" si="26"/>
        <v>81.084945481946249</v>
      </c>
      <c r="J160">
        <f t="shared" ca="1" si="32"/>
        <v>-6.7867526445603062E-3</v>
      </c>
      <c r="K160" s="12">
        <f t="shared" si="27"/>
        <v>112.50558379271516</v>
      </c>
      <c r="L160" s="12">
        <f t="shared" si="28"/>
        <v>0.11472171720143039</v>
      </c>
      <c r="M160" s="12">
        <f t="shared" si="33"/>
        <v>87.208189608513749</v>
      </c>
      <c r="N160" s="12">
        <f t="shared" si="34"/>
        <v>137.80297797691657</v>
      </c>
      <c r="O160" s="14">
        <f t="shared" si="35"/>
        <v>6.5858164049594631E-2</v>
      </c>
      <c r="P160" s="15">
        <f t="shared" si="29"/>
        <v>1.6062955109087451E-2</v>
      </c>
    </row>
    <row r="161" spans="1:16" x14ac:dyDescent="0.3">
      <c r="A161">
        <v>159</v>
      </c>
      <c r="B161" s="3">
        <v>44939</v>
      </c>
      <c r="C161">
        <v>83.95</v>
      </c>
      <c r="D161">
        <v>85.49</v>
      </c>
      <c r="E161">
        <v>83.49</v>
      </c>
      <c r="F161">
        <v>85.28</v>
      </c>
      <c r="G161" s="5">
        <f t="shared" si="30"/>
        <v>6.4128281392664445E-3</v>
      </c>
      <c r="H161" s="5">
        <f t="shared" ca="1" si="31"/>
        <v>-41.087236526145908</v>
      </c>
      <c r="I161">
        <f t="shared" ca="1" si="26"/>
        <v>80.235933215534317</v>
      </c>
      <c r="J161">
        <f t="shared" ca="1" si="32"/>
        <v>-1.0525855202562022E-2</v>
      </c>
      <c r="K161" s="12">
        <f t="shared" si="27"/>
        <v>112.4754561055136</v>
      </c>
      <c r="L161" s="12">
        <f t="shared" si="28"/>
        <v>0.11508657414975476</v>
      </c>
      <c r="M161" s="12">
        <f t="shared" si="33"/>
        <v>87.104402864048836</v>
      </c>
      <c r="N161" s="12">
        <f t="shared" si="34"/>
        <v>137.84650934697837</v>
      </c>
      <c r="O161" s="14">
        <f t="shared" si="35"/>
        <v>6.2257941388814131E-2</v>
      </c>
      <c r="P161" s="15">
        <f t="shared" si="29"/>
        <v>1.4450581449994455E-2</v>
      </c>
    </row>
    <row r="162" spans="1:16" x14ac:dyDescent="0.3">
      <c r="A162">
        <v>160</v>
      </c>
      <c r="B162" s="3">
        <v>44943</v>
      </c>
      <c r="C162">
        <v>85.44</v>
      </c>
      <c r="D162">
        <v>86.82</v>
      </c>
      <c r="E162">
        <v>83.86</v>
      </c>
      <c r="F162">
        <v>85.92</v>
      </c>
      <c r="G162" s="5">
        <f t="shared" si="30"/>
        <v>3.2470766729833385E-3</v>
      </c>
      <c r="H162" s="5">
        <f t="shared" ca="1" si="31"/>
        <v>-42.581512681241826</v>
      </c>
      <c r="I162">
        <f t="shared" ca="1" si="26"/>
        <v>79.149361805915689</v>
      </c>
      <c r="J162">
        <f t="shared" ca="1" si="32"/>
        <v>-1.3634736413656826E-2</v>
      </c>
      <c r="K162" s="12">
        <f t="shared" si="27"/>
        <v>112.44533648615636</v>
      </c>
      <c r="L162" s="12">
        <f t="shared" si="28"/>
        <v>0.11545030810019113</v>
      </c>
      <c r="M162" s="12">
        <f t="shared" si="33"/>
        <v>87.000912952313797</v>
      </c>
      <c r="N162" s="12">
        <f t="shared" si="34"/>
        <v>137.88976001999893</v>
      </c>
      <c r="O162" s="14">
        <f t="shared" si="35"/>
        <v>6.0414418232973874E-2</v>
      </c>
      <c r="P162" s="15">
        <f t="shared" si="29"/>
        <v>1.3653263481062692E-2</v>
      </c>
    </row>
    <row r="163" spans="1:16" x14ac:dyDescent="0.3">
      <c r="A163">
        <v>161</v>
      </c>
      <c r="B163" s="3">
        <v>44944</v>
      </c>
      <c r="C163">
        <v>86.72</v>
      </c>
      <c r="D163">
        <v>87.84</v>
      </c>
      <c r="E163">
        <v>84.4</v>
      </c>
      <c r="F163">
        <v>84.98</v>
      </c>
      <c r="G163" s="5">
        <f t="shared" si="30"/>
        <v>-4.7775416019847907E-3</v>
      </c>
      <c r="H163" s="5">
        <f t="shared" ca="1" si="31"/>
        <v>-44.134291037645838</v>
      </c>
      <c r="I163">
        <f t="shared" ca="1" si="26"/>
        <v>78.035963819819941</v>
      </c>
      <c r="J163">
        <f t="shared" ca="1" si="32"/>
        <v>-1.4166928157630012E-2</v>
      </c>
      <c r="K163" s="12">
        <f t="shared" si="27"/>
        <v>112.41522493248299</v>
      </c>
      <c r="L163" s="12">
        <f t="shared" si="28"/>
        <v>0.11581292963622468</v>
      </c>
      <c r="M163" s="12">
        <f t="shared" si="33"/>
        <v>86.89771732359678</v>
      </c>
      <c r="N163" s="12">
        <f t="shared" si="34"/>
        <v>137.93273254136918</v>
      </c>
      <c r="O163" s="14">
        <f t="shared" si="35"/>
        <v>6.2980020522477517E-2</v>
      </c>
      <c r="P163" s="15">
        <f t="shared" si="29"/>
        <v>1.4764292982684928E-2</v>
      </c>
    </row>
    <row r="164" spans="1:16" x14ac:dyDescent="0.3">
      <c r="A164">
        <v>162</v>
      </c>
      <c r="B164" s="3">
        <v>44945</v>
      </c>
      <c r="C164">
        <v>84.59</v>
      </c>
      <c r="D164">
        <v>86.85</v>
      </c>
      <c r="E164">
        <v>83.74</v>
      </c>
      <c r="F164">
        <v>86.16</v>
      </c>
      <c r="G164" s="5">
        <f t="shared" si="30"/>
        <v>5.9889635364295032E-3</v>
      </c>
      <c r="H164" s="5">
        <f t="shared" ca="1" si="31"/>
        <v>-41.960298988139542</v>
      </c>
      <c r="I164">
        <f t="shared" ca="1" si="26"/>
        <v>79.591326240592409</v>
      </c>
      <c r="J164">
        <f t="shared" ca="1" si="32"/>
        <v>1.9735325045862302E-2</v>
      </c>
      <c r="K164" s="12">
        <f t="shared" si="27"/>
        <v>112.38512144233357</v>
      </c>
      <c r="L164" s="12">
        <f t="shared" si="28"/>
        <v>0.1161744491770452</v>
      </c>
      <c r="M164" s="12">
        <f t="shared" si="33"/>
        <v>86.794813466987051</v>
      </c>
      <c r="N164" s="12">
        <f t="shared" si="34"/>
        <v>137.97542941768009</v>
      </c>
      <c r="O164" s="14">
        <f t="shared" si="35"/>
        <v>5.9630439522172021E-2</v>
      </c>
      <c r="P164" s="15">
        <f t="shared" si="29"/>
        <v>1.3317882164929764E-2</v>
      </c>
    </row>
    <row r="165" spans="1:16" x14ac:dyDescent="0.3">
      <c r="A165">
        <v>163</v>
      </c>
      <c r="B165" s="3">
        <v>44946</v>
      </c>
      <c r="C165">
        <v>86.36</v>
      </c>
      <c r="D165">
        <v>87.77</v>
      </c>
      <c r="E165">
        <v>85.58</v>
      </c>
      <c r="F165">
        <v>87.63</v>
      </c>
      <c r="G165" s="5">
        <f t="shared" si="30"/>
        <v>7.3471214032870416E-3</v>
      </c>
      <c r="H165" s="5">
        <f t="shared" ca="1" si="31"/>
        <v>-41.523461739086777</v>
      </c>
      <c r="I165">
        <f t="shared" ca="1" si="26"/>
        <v>79.904936192975711</v>
      </c>
      <c r="J165">
        <f t="shared" ca="1" si="32"/>
        <v>3.9325104143952986E-3</v>
      </c>
      <c r="K165" s="12">
        <f t="shared" si="27"/>
        <v>112.35502601354879</v>
      </c>
      <c r="L165" s="12">
        <f t="shared" si="28"/>
        <v>0.11653487698108862</v>
      </c>
      <c r="M165" s="12">
        <f t="shared" si="33"/>
        <v>86.692198909544786</v>
      </c>
      <c r="N165" s="12">
        <f t="shared" si="34"/>
        <v>138.01785311755282</v>
      </c>
      <c r="O165" s="14">
        <f t="shared" si="35"/>
        <v>5.5563038481006501E-2</v>
      </c>
      <c r="P165" s="15">
        <f t="shared" si="29"/>
        <v>1.165097731011314E-2</v>
      </c>
    </row>
    <row r="166" spans="1:16" x14ac:dyDescent="0.3">
      <c r="A166">
        <v>164</v>
      </c>
      <c r="B166" s="3">
        <v>44949</v>
      </c>
      <c r="C166">
        <v>87.81</v>
      </c>
      <c r="D166">
        <v>89.1</v>
      </c>
      <c r="E166">
        <v>86.93</v>
      </c>
      <c r="F166">
        <v>88.19</v>
      </c>
      <c r="G166" s="5">
        <f t="shared" si="30"/>
        <v>2.7665309098509911E-3</v>
      </c>
      <c r="H166" s="5">
        <f t="shared" ca="1" si="31"/>
        <v>-42.052268921535656</v>
      </c>
      <c r="I166">
        <f t="shared" ca="1" si="26"/>
        <v>79.518183551931827</v>
      </c>
      <c r="J166">
        <f t="shared" ca="1" si="32"/>
        <v>-4.8519110700598741E-3</v>
      </c>
      <c r="K166" s="12">
        <f t="shared" si="27"/>
        <v>112.32493864396992</v>
      </c>
      <c r="L166" s="12">
        <f t="shared" si="28"/>
        <v>0.11689422314948826</v>
      </c>
      <c r="M166" s="12">
        <f t="shared" si="33"/>
        <v>86.589871215492352</v>
      </c>
      <c r="N166" s="12">
        <f t="shared" si="34"/>
        <v>138.06000607244746</v>
      </c>
      <c r="O166" s="14">
        <f t="shared" si="35"/>
        <v>5.4002160425632051E-2</v>
      </c>
      <c r="P166" s="15">
        <f t="shared" si="29"/>
        <v>1.103694119285023E-2</v>
      </c>
    </row>
    <row r="167" spans="1:16" x14ac:dyDescent="0.3">
      <c r="A167">
        <v>165</v>
      </c>
      <c r="B167" s="3">
        <v>44950</v>
      </c>
      <c r="C167">
        <v>88.03</v>
      </c>
      <c r="D167">
        <v>88.71</v>
      </c>
      <c r="E167">
        <v>85.81</v>
      </c>
      <c r="F167">
        <v>86.13</v>
      </c>
      <c r="G167" s="5">
        <f t="shared" si="30"/>
        <v>-1.0264895386894724E-2</v>
      </c>
      <c r="H167" s="5">
        <f t="shared" ca="1" si="31"/>
        <v>-42.395828089154293</v>
      </c>
      <c r="I167">
        <f t="shared" ca="1" si="26"/>
        <v>79.266770122083798</v>
      </c>
      <c r="J167">
        <f t="shared" ca="1" si="32"/>
        <v>-3.1667186862580454E-3</v>
      </c>
      <c r="K167" s="12">
        <f t="shared" si="27"/>
        <v>112.29485933143877</v>
      </c>
      <c r="L167" s="12">
        <f t="shared" si="28"/>
        <v>0.1172524976294269</v>
      </c>
      <c r="M167" s="12">
        <f t="shared" si="33"/>
        <v>86.487827985428325</v>
      </c>
      <c r="N167" s="12">
        <f t="shared" si="34"/>
        <v>138.10189067744923</v>
      </c>
      <c r="O167" s="14">
        <f t="shared" si="35"/>
        <v>5.9532937228801916E-2</v>
      </c>
      <c r="P167" s="15">
        <f t="shared" si="29"/>
        <v>1.3272290694615505E-2</v>
      </c>
    </row>
    <row r="168" spans="1:16" x14ac:dyDescent="0.3">
      <c r="A168">
        <v>166</v>
      </c>
      <c r="B168" s="3">
        <v>44951</v>
      </c>
      <c r="C168">
        <v>86.3</v>
      </c>
      <c r="D168">
        <v>87.01</v>
      </c>
      <c r="E168">
        <v>85.41</v>
      </c>
      <c r="F168">
        <v>86.12</v>
      </c>
      <c r="G168" s="5">
        <f t="shared" si="30"/>
        <v>-5.0426064718803221E-5</v>
      </c>
      <c r="H168" s="5">
        <f t="shared" ca="1" si="31"/>
        <v>-41.646760518751975</v>
      </c>
      <c r="I168">
        <f t="shared" ca="1" si="26"/>
        <v>79.805454603568322</v>
      </c>
      <c r="J168">
        <f t="shared" ca="1" si="32"/>
        <v>6.7728548035782326E-3</v>
      </c>
      <c r="K168" s="12">
        <f t="shared" si="27"/>
        <v>112.26478807379779</v>
      </c>
      <c r="L168" s="12">
        <f t="shared" si="28"/>
        <v>0.11760971021740316</v>
      </c>
      <c r="M168" s="12">
        <f t="shared" si="33"/>
        <v>86.386066855561808</v>
      </c>
      <c r="N168" s="12">
        <f t="shared" si="34"/>
        <v>138.14350929203377</v>
      </c>
      <c r="O168" s="14">
        <f t="shared" si="35"/>
        <v>5.9500439487096851E-2</v>
      </c>
      <c r="P168" s="15">
        <f t="shared" si="29"/>
        <v>1.3257113605035868E-2</v>
      </c>
    </row>
    <row r="169" spans="1:16" x14ac:dyDescent="0.3">
      <c r="A169">
        <v>167</v>
      </c>
      <c r="B169" s="3">
        <v>44952</v>
      </c>
      <c r="C169">
        <v>86.13</v>
      </c>
      <c r="D169">
        <v>88.01</v>
      </c>
      <c r="E169">
        <v>85.78</v>
      </c>
      <c r="F169">
        <v>87.47</v>
      </c>
      <c r="G169" s="5">
        <f t="shared" si="30"/>
        <v>6.7551053739239378E-3</v>
      </c>
      <c r="H169" s="5">
        <f t="shared" ca="1" si="31"/>
        <v>-41.270488009900802</v>
      </c>
      <c r="I169">
        <f t="shared" ca="1" si="26"/>
        <v>80.075778004863764</v>
      </c>
      <c r="J169">
        <f t="shared" ca="1" si="32"/>
        <v>3.3815558521658427E-3</v>
      </c>
      <c r="K169" s="12">
        <f t="shared" si="27"/>
        <v>112.23472486888994</v>
      </c>
      <c r="L169" s="12">
        <f t="shared" si="28"/>
        <v>0.11796587056240003</v>
      </c>
      <c r="M169" s="12">
        <f t="shared" si="33"/>
        <v>86.284585496969441</v>
      </c>
      <c r="N169" s="12">
        <f t="shared" si="34"/>
        <v>138.18486424081044</v>
      </c>
      <c r="O169" s="14">
        <f t="shared" si="35"/>
        <v>5.5754878544895775E-2</v>
      </c>
      <c r="P169" s="15">
        <f t="shared" si="29"/>
        <v>1.1721985754356158E-2</v>
      </c>
    </row>
    <row r="170" spans="1:16" x14ac:dyDescent="0.3">
      <c r="A170">
        <v>168</v>
      </c>
      <c r="B170" s="3">
        <v>44953</v>
      </c>
      <c r="C170">
        <v>87.6</v>
      </c>
      <c r="D170">
        <v>88.91</v>
      </c>
      <c r="E170">
        <v>85.68</v>
      </c>
      <c r="F170">
        <v>86.66</v>
      </c>
      <c r="G170" s="5">
        <f t="shared" si="30"/>
        <v>-4.0404418270175626E-3</v>
      </c>
      <c r="H170" s="5">
        <f t="shared" ca="1" si="31"/>
        <v>-41.490504520745212</v>
      </c>
      <c r="I170">
        <f t="shared" ca="1" si="26"/>
        <v>79.912361615339066</v>
      </c>
      <c r="J170">
        <f t="shared" ca="1" si="32"/>
        <v>-2.0428570110795608E-3</v>
      </c>
      <c r="K170" s="12">
        <f t="shared" si="27"/>
        <v>112.20466971455883</v>
      </c>
      <c r="L170" s="12">
        <f t="shared" si="28"/>
        <v>0.11832098816897933</v>
      </c>
      <c r="M170" s="12">
        <f t="shared" si="33"/>
        <v>86.183381614869759</v>
      </c>
      <c r="N170" s="12">
        <f t="shared" si="34"/>
        <v>138.22595781424789</v>
      </c>
      <c r="O170" s="14">
        <f t="shared" si="35"/>
        <v>5.789615296649149E-2</v>
      </c>
      <c r="P170" s="15">
        <f t="shared" si="29"/>
        <v>1.2587100284804587E-2</v>
      </c>
    </row>
    <row r="171" spans="1:16" x14ac:dyDescent="0.3">
      <c r="A171">
        <v>169</v>
      </c>
      <c r="B171" s="3">
        <v>44956</v>
      </c>
      <c r="C171">
        <v>86.8</v>
      </c>
      <c r="D171">
        <v>87.37</v>
      </c>
      <c r="E171">
        <v>84.75</v>
      </c>
      <c r="F171">
        <v>84.9</v>
      </c>
      <c r="G171" s="5">
        <f t="shared" si="30"/>
        <v>-8.9109944544032635E-3</v>
      </c>
      <c r="H171" s="5">
        <f t="shared" ca="1" si="31"/>
        <v>-41.825752437774526</v>
      </c>
      <c r="I171">
        <f t="shared" ca="1" si="26"/>
        <v>79.665724971670159</v>
      </c>
      <c r="J171">
        <f t="shared" ca="1" si="32"/>
        <v>-3.0911116347824732E-3</v>
      </c>
      <c r="K171" s="12">
        <f t="shared" si="27"/>
        <v>112.17462260864858</v>
      </c>
      <c r="L171" s="12">
        <f t="shared" si="28"/>
        <v>0.11867507240028417</v>
      </c>
      <c r="M171" s="12">
        <f t="shared" si="33"/>
        <v>86.082452947918966</v>
      </c>
      <c r="N171" s="12">
        <f t="shared" si="34"/>
        <v>138.26679226937819</v>
      </c>
      <c r="O171" s="14">
        <f t="shared" si="35"/>
        <v>6.2723025819139647E-2</v>
      </c>
      <c r="P171" s="15">
        <f t="shared" si="29"/>
        <v>1.4637836470520891E-2</v>
      </c>
    </row>
    <row r="172" spans="1:16" x14ac:dyDescent="0.3">
      <c r="A172">
        <v>170</v>
      </c>
      <c r="B172" s="3">
        <v>44957</v>
      </c>
      <c r="C172">
        <v>85.16</v>
      </c>
      <c r="D172">
        <v>85.16</v>
      </c>
      <c r="E172">
        <v>83.69</v>
      </c>
      <c r="F172">
        <v>84.49</v>
      </c>
      <c r="G172" s="5">
        <f t="shared" si="30"/>
        <v>-2.1023801323466714E-3</v>
      </c>
      <c r="H172" s="5">
        <f t="shared" ca="1" si="31"/>
        <v>-42.918090950683286</v>
      </c>
      <c r="I172">
        <f t="shared" ca="1" si="26"/>
        <v>78.87474705626056</v>
      </c>
      <c r="J172">
        <f t="shared" ca="1" si="32"/>
        <v>-9.9783287917025853E-3</v>
      </c>
      <c r="K172" s="12">
        <f t="shared" si="27"/>
        <v>112.14458354900393</v>
      </c>
      <c r="L172" s="12">
        <f t="shared" si="28"/>
        <v>0.11902813248096415</v>
      </c>
      <c r="M172" s="12">
        <f t="shared" si="33"/>
        <v>85.981797267524882</v>
      </c>
      <c r="N172" s="12">
        <f t="shared" si="34"/>
        <v>138.30736983048297</v>
      </c>
      <c r="O172" s="14">
        <f t="shared" si="35"/>
        <v>6.382222000209048E-2</v>
      </c>
      <c r="P172" s="15">
        <f t="shared" si="29"/>
        <v>1.5122356860582503E-2</v>
      </c>
    </row>
    <row r="173" spans="1:16" x14ac:dyDescent="0.3">
      <c r="A173">
        <v>171</v>
      </c>
      <c r="B173" s="3">
        <v>44958</v>
      </c>
      <c r="C173">
        <v>85.52</v>
      </c>
      <c r="D173">
        <v>86.2</v>
      </c>
      <c r="E173">
        <v>82.37</v>
      </c>
      <c r="F173">
        <v>82.84</v>
      </c>
      <c r="G173" s="5">
        <f t="shared" si="30"/>
        <v>-8.5652198901910136E-3</v>
      </c>
      <c r="H173" s="5">
        <f t="shared" ca="1" si="31"/>
        <v>-41.538099796750693</v>
      </c>
      <c r="I173">
        <f t="shared" ca="1" si="26"/>
        <v>79.867854535371677</v>
      </c>
      <c r="J173">
        <f t="shared" ca="1" si="32"/>
        <v>1.2512336647422429E-2</v>
      </c>
      <c r="K173" s="12">
        <f t="shared" si="27"/>
        <v>112.11455253347016</v>
      </c>
      <c r="L173" s="12">
        <f t="shared" si="28"/>
        <v>0.11938017750003077</v>
      </c>
      <c r="M173" s="12">
        <f t="shared" si="33"/>
        <v>85.881412377177057</v>
      </c>
      <c r="N173" s="12">
        <f t="shared" si="34"/>
        <v>138.34769268976325</v>
      </c>
      <c r="O173" s="14">
        <f t="shared" si="35"/>
        <v>6.8511704231478412E-2</v>
      </c>
      <c r="P173" s="15">
        <f t="shared" si="29"/>
        <v>1.7271715196702588E-2</v>
      </c>
    </row>
    <row r="174" spans="1:16" x14ac:dyDescent="0.3">
      <c r="A174">
        <v>172</v>
      </c>
      <c r="B174" s="3">
        <v>44959</v>
      </c>
      <c r="C174">
        <v>83.09</v>
      </c>
      <c r="D174">
        <v>83.6</v>
      </c>
      <c r="E174">
        <v>81.239999999999995</v>
      </c>
      <c r="F174">
        <v>82.17</v>
      </c>
      <c r="G174" s="5">
        <f t="shared" si="30"/>
        <v>-3.5268032477911633E-3</v>
      </c>
      <c r="H174" s="5">
        <f t="shared" ca="1" si="31"/>
        <v>-42.089071238866559</v>
      </c>
      <c r="I174">
        <f t="shared" ca="1" si="26"/>
        <v>79.465257401432638</v>
      </c>
      <c r="J174">
        <f t="shared" ca="1" si="32"/>
        <v>-5.0535382865115894E-3</v>
      </c>
      <c r="K174" s="12">
        <f t="shared" si="27"/>
        <v>112.08452955989318</v>
      </c>
      <c r="L174" s="12">
        <f t="shared" si="28"/>
        <v>0.1197312164136239</v>
      </c>
      <c r="M174" s="12">
        <f t="shared" si="33"/>
        <v>85.781296111797786</v>
      </c>
      <c r="N174" s="12">
        <f t="shared" si="34"/>
        <v>138.38776300798858</v>
      </c>
      <c r="O174" s="14">
        <f t="shared" si="35"/>
        <v>7.0419099968749718E-2</v>
      </c>
      <c r="P174" s="15">
        <f t="shared" si="29"/>
        <v>1.8179772413390031E-2</v>
      </c>
    </row>
    <row r="175" spans="1:16" x14ac:dyDescent="0.3">
      <c r="A175">
        <v>173</v>
      </c>
      <c r="B175" s="3">
        <v>44960</v>
      </c>
      <c r="C175">
        <v>82.15</v>
      </c>
      <c r="D175">
        <v>84.19</v>
      </c>
      <c r="E175">
        <v>79.62</v>
      </c>
      <c r="F175">
        <v>79.94</v>
      </c>
      <c r="G175" s="5">
        <f t="shared" si="30"/>
        <v>-1.1949143049537781E-2</v>
      </c>
      <c r="H175" s="5">
        <f t="shared" ca="1" si="31"/>
        <v>-41.138292770424769</v>
      </c>
      <c r="I175">
        <f t="shared" ca="1" si="26"/>
        <v>80.152231609136877</v>
      </c>
      <c r="J175">
        <f t="shared" ca="1" si="32"/>
        <v>8.6078092532519447E-3</v>
      </c>
      <c r="K175" s="12">
        <f t="shared" si="27"/>
        <v>112.05451462611944</v>
      </c>
      <c r="L175" s="12">
        <f t="shared" si="28"/>
        <v>0.12008125804771511</v>
      </c>
      <c r="M175" s="12">
        <f t="shared" si="33"/>
        <v>85.68144633710763</v>
      </c>
      <c r="N175" s="12">
        <f t="shared" si="34"/>
        <v>138.42758291513124</v>
      </c>
      <c r="O175" s="14">
        <f t="shared" si="35"/>
        <v>7.7080081258437919E-2</v>
      </c>
      <c r="P175" s="15">
        <f t="shared" si="29"/>
        <v>2.1510685240927831E-2</v>
      </c>
    </row>
    <row r="176" spans="1:16" x14ac:dyDescent="0.3">
      <c r="A176">
        <v>174</v>
      </c>
      <c r="B176" s="3">
        <v>44963</v>
      </c>
      <c r="C176">
        <v>79.75</v>
      </c>
      <c r="D176">
        <v>81.400000000000006</v>
      </c>
      <c r="E176">
        <v>79.09</v>
      </c>
      <c r="F176">
        <v>80.989999999999995</v>
      </c>
      <c r="G176" s="5">
        <f t="shared" si="30"/>
        <v>5.6672550419203131E-3</v>
      </c>
      <c r="H176" s="5">
        <f t="shared" ca="1" si="31"/>
        <v>-40.671967019765205</v>
      </c>
      <c r="I176">
        <f t="shared" ca="1" si="26"/>
        <v>80.489640563260636</v>
      </c>
      <c r="J176">
        <f t="shared" ca="1" si="32"/>
        <v>4.2007659115623607E-3</v>
      </c>
      <c r="K176" s="12">
        <f t="shared" si="27"/>
        <v>112.02450772999597</v>
      </c>
      <c r="L176" s="12">
        <f t="shared" si="28"/>
        <v>0.12043031110074359</v>
      </c>
      <c r="M176" s="12">
        <f t="shared" si="33"/>
        <v>85.58186094900708</v>
      </c>
      <c r="N176" s="12">
        <f t="shared" si="34"/>
        <v>138.46715451098487</v>
      </c>
      <c r="O176" s="14">
        <f t="shared" si="35"/>
        <v>7.3820649396464655E-2</v>
      </c>
      <c r="P176" s="15">
        <f t="shared" si="29"/>
        <v>1.9847637954335924E-2</v>
      </c>
    </row>
    <row r="177" spans="1:16" x14ac:dyDescent="0.3">
      <c r="A177">
        <v>175</v>
      </c>
      <c r="B177" s="3">
        <v>44964</v>
      </c>
      <c r="C177">
        <v>81.400000000000006</v>
      </c>
      <c r="D177">
        <v>84.1</v>
      </c>
      <c r="E177">
        <v>81.180000000000007</v>
      </c>
      <c r="F177">
        <v>83.69</v>
      </c>
      <c r="G177" s="5">
        <f t="shared" si="30"/>
        <v>1.4242168892547881E-2</v>
      </c>
      <c r="H177" s="5">
        <f t="shared" ca="1" si="31"/>
        <v>-42.111165463682724</v>
      </c>
      <c r="I177">
        <f t="shared" ca="1" si="26"/>
        <v>79.439425703129302</v>
      </c>
      <c r="J177">
        <f t="shared" ca="1" si="32"/>
        <v>-1.3133697093585712E-2</v>
      </c>
      <c r="K177" s="12">
        <f t="shared" si="27"/>
        <v>111.99450886937038</v>
      </c>
      <c r="L177" s="12">
        <f t="shared" si="28"/>
        <v>0.12077838414617383</v>
      </c>
      <c r="M177" s="12">
        <f t="shared" si="33"/>
        <v>85.482537872976081</v>
      </c>
      <c r="N177" s="12">
        <f t="shared" si="34"/>
        <v>138.50647986576467</v>
      </c>
      <c r="O177" s="14">
        <f t="shared" si="35"/>
        <v>6.5805846523146319E-2</v>
      </c>
      <c r="P177" s="15">
        <f t="shared" si="29"/>
        <v>1.6008110451779675E-2</v>
      </c>
    </row>
    <row r="178" spans="1:16" x14ac:dyDescent="0.3">
      <c r="A178">
        <v>176</v>
      </c>
      <c r="B178" s="3">
        <v>44965</v>
      </c>
      <c r="C178">
        <v>84.03</v>
      </c>
      <c r="D178">
        <v>85.16</v>
      </c>
      <c r="E178">
        <v>83.5</v>
      </c>
      <c r="F178">
        <v>85.09</v>
      </c>
      <c r="G178" s="5">
        <f t="shared" si="30"/>
        <v>7.2049557982291302E-3</v>
      </c>
      <c r="H178" s="5">
        <f t="shared" ca="1" si="31"/>
        <v>-41.266884404667067</v>
      </c>
      <c r="I178">
        <f t="shared" ca="1" si="26"/>
        <v>80.048587797157211</v>
      </c>
      <c r="J178">
        <f t="shared" ca="1" si="32"/>
        <v>7.6390073828298388E-3</v>
      </c>
      <c r="K178" s="12">
        <f t="shared" si="27"/>
        <v>111.96451804209087</v>
      </c>
      <c r="L178" s="12">
        <f t="shared" si="28"/>
        <v>0.12112548563499402</v>
      </c>
      <c r="M178" s="12">
        <f t="shared" si="33"/>
        <v>85.383475063487722</v>
      </c>
      <c r="N178" s="12">
        <f t="shared" si="34"/>
        <v>138.54556102069404</v>
      </c>
      <c r="O178" s="14">
        <f t="shared" si="35"/>
        <v>6.1766525651261554E-2</v>
      </c>
      <c r="P178" s="15">
        <f t="shared" si="29"/>
        <v>1.4209090897904441E-2</v>
      </c>
    </row>
    <row r="179" spans="1:16" x14ac:dyDescent="0.3">
      <c r="A179">
        <v>177</v>
      </c>
      <c r="B179" s="3">
        <v>44966</v>
      </c>
      <c r="C179">
        <v>85.07</v>
      </c>
      <c r="D179">
        <v>85.5</v>
      </c>
      <c r="E179">
        <v>83.06</v>
      </c>
      <c r="F179">
        <v>84.5</v>
      </c>
      <c r="G179" s="5">
        <f t="shared" si="30"/>
        <v>-3.0218147070909846E-3</v>
      </c>
      <c r="H179" s="5">
        <f t="shared" ca="1" si="31"/>
        <v>-41.403829327797396</v>
      </c>
      <c r="I179">
        <f t="shared" ca="1" si="26"/>
        <v>79.945618841696856</v>
      </c>
      <c r="J179">
        <f t="shared" ca="1" si="32"/>
        <v>-1.2871587270552414E-3</v>
      </c>
      <c r="K179" s="12">
        <f t="shared" si="27"/>
        <v>111.93453524600619</v>
      </c>
      <c r="L179" s="12">
        <f t="shared" si="28"/>
        <v>0.1214716238981543</v>
      </c>
      <c r="M179" s="12">
        <f t="shared" si="33"/>
        <v>85.284670503435763</v>
      </c>
      <c r="N179" s="12">
        <f t="shared" si="34"/>
        <v>138.58439998857662</v>
      </c>
      <c r="O179" s="14">
        <f t="shared" si="35"/>
        <v>6.3371288009163654E-2</v>
      </c>
      <c r="P179" s="15">
        <f t="shared" si="29"/>
        <v>1.4910215048003264E-2</v>
      </c>
    </row>
    <row r="180" spans="1:16" x14ac:dyDescent="0.3">
      <c r="A180">
        <v>178</v>
      </c>
      <c r="B180" s="3">
        <v>44967</v>
      </c>
      <c r="C180">
        <v>84.23</v>
      </c>
      <c r="D180">
        <v>86.91</v>
      </c>
      <c r="E180">
        <v>83.94</v>
      </c>
      <c r="F180">
        <v>86.39</v>
      </c>
      <c r="G180" s="5">
        <f t="shared" si="30"/>
        <v>9.606765055054485E-3</v>
      </c>
      <c r="H180" s="5">
        <f t="shared" ca="1" si="31"/>
        <v>-41.60182321504098</v>
      </c>
      <c r="I180">
        <f t="shared" ca="1" si="26"/>
        <v>79.798453199203692</v>
      </c>
      <c r="J180">
        <f t="shared" ca="1" si="32"/>
        <v>-1.8425182511880036E-3</v>
      </c>
      <c r="K180" s="12">
        <f t="shared" si="27"/>
        <v>111.90456047896568</v>
      </c>
      <c r="L180" s="12">
        <f t="shared" si="28"/>
        <v>0.12181680714893127</v>
      </c>
      <c r="M180" s="12">
        <f t="shared" si="33"/>
        <v>85.186122203579615</v>
      </c>
      <c r="N180" s="12">
        <f t="shared" si="34"/>
        <v>138.62299875435176</v>
      </c>
      <c r="O180" s="14">
        <f t="shared" si="35"/>
        <v>5.803585418559469E-2</v>
      </c>
      <c r="P180" s="15">
        <f t="shared" si="29"/>
        <v>1.2630233541697261E-2</v>
      </c>
    </row>
    <row r="181" spans="1:16" x14ac:dyDescent="0.3">
      <c r="A181">
        <v>179</v>
      </c>
      <c r="B181" s="3">
        <v>44970</v>
      </c>
      <c r="C181">
        <v>86.6</v>
      </c>
      <c r="D181">
        <v>86.95</v>
      </c>
      <c r="E181">
        <v>85.09</v>
      </c>
      <c r="F181">
        <v>86.61</v>
      </c>
      <c r="G181" s="5">
        <f t="shared" si="30"/>
        <v>1.1045645956360756E-3</v>
      </c>
      <c r="H181" s="5">
        <f t="shared" ca="1" si="31"/>
        <v>-43.625818358302013</v>
      </c>
      <c r="I181">
        <f t="shared" ca="1" si="26"/>
        <v>78.339391120120311</v>
      </c>
      <c r="J181">
        <f t="shared" ca="1" si="32"/>
        <v>-1.8453564864959141E-2</v>
      </c>
      <c r="K181" s="12">
        <f t="shared" si="27"/>
        <v>111.87459373881924</v>
      </c>
      <c r="L181" s="12">
        <f t="shared" si="28"/>
        <v>0.1221610434852454</v>
      </c>
      <c r="M181" s="12">
        <f t="shared" si="33"/>
        <v>85.087828202000011</v>
      </c>
      <c r="N181" s="12">
        <f t="shared" si="34"/>
        <v>138.66135927563846</v>
      </c>
      <c r="O181" s="14">
        <f t="shared" si="35"/>
        <v>5.7372660167648734E-2</v>
      </c>
      <c r="P181" s="15">
        <f t="shared" si="29"/>
        <v>1.2357308754155132E-2</v>
      </c>
    </row>
    <row r="182" spans="1:16" x14ac:dyDescent="0.3">
      <c r="A182">
        <v>180</v>
      </c>
      <c r="B182" s="3">
        <v>44971</v>
      </c>
      <c r="C182">
        <v>85.75</v>
      </c>
      <c r="D182">
        <v>86.4</v>
      </c>
      <c r="E182">
        <v>84.12</v>
      </c>
      <c r="F182">
        <v>85.58</v>
      </c>
      <c r="G182" s="5">
        <f t="shared" si="30"/>
        <v>-5.1957564524689817E-3</v>
      </c>
      <c r="H182" s="5">
        <f t="shared" ca="1" si="31"/>
        <v>-43.323061078220498</v>
      </c>
      <c r="I182">
        <f t="shared" ca="1" si="26"/>
        <v>78.552198059570159</v>
      </c>
      <c r="J182">
        <f t="shared" ca="1" si="32"/>
        <v>2.7127913111283626E-3</v>
      </c>
      <c r="K182" s="12">
        <f t="shared" si="27"/>
        <v>111.8446350234174</v>
      </c>
      <c r="L182" s="12">
        <f t="shared" si="28"/>
        <v>0.12250434089191406</v>
      </c>
      <c r="M182" s="12">
        <f t="shared" si="33"/>
        <v>84.989786563570149</v>
      </c>
      <c r="N182" s="12">
        <f t="shared" si="34"/>
        <v>138.69948348326466</v>
      </c>
      <c r="O182" s="14">
        <f t="shared" si="35"/>
        <v>6.0155527777733073E-2</v>
      </c>
      <c r="P182" s="15">
        <f t="shared" si="29"/>
        <v>1.3512405871016151E-2</v>
      </c>
    </row>
    <row r="183" spans="1:16" x14ac:dyDescent="0.3">
      <c r="A183">
        <v>181</v>
      </c>
      <c r="B183" s="3">
        <v>44972</v>
      </c>
      <c r="C183">
        <v>85.29</v>
      </c>
      <c r="D183">
        <v>85.85</v>
      </c>
      <c r="E183">
        <v>83.9</v>
      </c>
      <c r="F183">
        <v>85.38</v>
      </c>
      <c r="G183" s="5">
        <f t="shared" si="30"/>
        <v>-1.0161316799860392E-3</v>
      </c>
      <c r="H183" s="5">
        <f t="shared" ca="1" si="31"/>
        <v>-42.508085689430594</v>
      </c>
      <c r="I183">
        <f t="shared" ca="1" si="26"/>
        <v>79.133457480338748</v>
      </c>
      <c r="J183">
        <f t="shared" ca="1" si="32"/>
        <v>7.3724150940438146E-3</v>
      </c>
      <c r="K183" s="12">
        <f t="shared" si="27"/>
        <v>111.8146843306112</v>
      </c>
      <c r="L183" s="12">
        <f t="shared" si="28"/>
        <v>0.12284670724284814</v>
      </c>
      <c r="M183" s="12">
        <f t="shared" si="33"/>
        <v>84.891995379439621</v>
      </c>
      <c r="N183" s="12">
        <f t="shared" si="34"/>
        <v>138.73737328178277</v>
      </c>
      <c r="O183" s="14">
        <f t="shared" si="35"/>
        <v>6.065307610932287E-2</v>
      </c>
      <c r="P183" s="15">
        <f t="shared" si="29"/>
        <v>1.3722410192607816E-2</v>
      </c>
    </row>
    <row r="184" spans="1:16" x14ac:dyDescent="0.3">
      <c r="A184">
        <v>182</v>
      </c>
      <c r="B184" s="3">
        <v>44973</v>
      </c>
      <c r="C184">
        <v>85.14</v>
      </c>
      <c r="D184">
        <v>86.2</v>
      </c>
      <c r="E184">
        <v>84.6</v>
      </c>
      <c r="F184">
        <v>85.14</v>
      </c>
      <c r="G184" s="5">
        <f t="shared" si="30"/>
        <v>-1.2225046268103117E-3</v>
      </c>
      <c r="H184" s="5">
        <f t="shared" ca="1" si="31"/>
        <v>-44.147518463273677</v>
      </c>
      <c r="I184">
        <f t="shared" ca="1" si="26"/>
        <v>77.958804759715946</v>
      </c>
      <c r="J184">
        <f t="shared" ca="1" si="32"/>
        <v>-1.4955219273326881E-2</v>
      </c>
      <c r="K184" s="12">
        <f t="shared" si="27"/>
        <v>111.78474165825229</v>
      </c>
      <c r="L184" s="12">
        <f t="shared" si="28"/>
        <v>0.12318815030319422</v>
      </c>
      <c r="M184" s="12">
        <f t="shared" si="33"/>
        <v>84.794452766531279</v>
      </c>
      <c r="N184" s="12">
        <f t="shared" si="34"/>
        <v>138.77503054997331</v>
      </c>
      <c r="O184" s="14">
        <f t="shared" si="35"/>
        <v>6.126460822183305E-2</v>
      </c>
      <c r="P184" s="15">
        <f t="shared" si="29"/>
        <v>1.3982798006328174E-2</v>
      </c>
    </row>
    <row r="185" spans="1:16" x14ac:dyDescent="0.3">
      <c r="A185">
        <v>183</v>
      </c>
      <c r="B185" s="3">
        <v>44974</v>
      </c>
      <c r="C185">
        <v>84.67</v>
      </c>
      <c r="D185">
        <v>84.85</v>
      </c>
      <c r="E185">
        <v>81.790000000000006</v>
      </c>
      <c r="F185">
        <v>83</v>
      </c>
      <c r="G185" s="5">
        <f t="shared" si="30"/>
        <v>-1.1055553465043749E-2</v>
      </c>
      <c r="H185" s="5">
        <f t="shared" ca="1" si="31"/>
        <v>-43.606312377750172</v>
      </c>
      <c r="I185">
        <f t="shared" ca="1" si="26"/>
        <v>78.340326176031056</v>
      </c>
      <c r="J185">
        <f t="shared" ca="1" si="32"/>
        <v>4.8819487578397412E-3</v>
      </c>
      <c r="K185" s="12">
        <f t="shared" si="27"/>
        <v>111.75480700419288</v>
      </c>
      <c r="L185" s="12">
        <f t="shared" si="28"/>
        <v>0.12352867773142727</v>
      </c>
      <c r="M185" s="12">
        <f t="shared" si="33"/>
        <v>84.697156867049642</v>
      </c>
      <c r="N185" s="12">
        <f t="shared" si="34"/>
        <v>138.81245714133613</v>
      </c>
      <c r="O185" s="14">
        <f t="shared" si="35"/>
        <v>6.7317802761329898E-2</v>
      </c>
      <c r="P185" s="15">
        <f t="shared" si="29"/>
        <v>1.6689570479914581E-2</v>
      </c>
    </row>
    <row r="186" spans="1:16" x14ac:dyDescent="0.3">
      <c r="A186">
        <v>184</v>
      </c>
      <c r="B186" s="3">
        <v>44978</v>
      </c>
      <c r="C186">
        <v>83.01</v>
      </c>
      <c r="D186">
        <v>84.29</v>
      </c>
      <c r="E186">
        <v>82.54</v>
      </c>
      <c r="F186">
        <v>83.05</v>
      </c>
      <c r="G186" s="5">
        <f t="shared" si="30"/>
        <v>2.6154441133936253E-4</v>
      </c>
      <c r="H186" s="5">
        <f t="shared" ca="1" si="31"/>
        <v>-43.602797811115373</v>
      </c>
      <c r="I186">
        <f t="shared" ca="1" si="26"/>
        <v>78.339589355322317</v>
      </c>
      <c r="J186">
        <f t="shared" ca="1" si="32"/>
        <v>-9.4054264229580816E-6</v>
      </c>
      <c r="K186" s="12">
        <f t="shared" si="27"/>
        <v>111.72488036628576</v>
      </c>
      <c r="L186" s="12">
        <f t="shared" si="28"/>
        <v>0.12386829708138501</v>
      </c>
      <c r="M186" s="12">
        <f t="shared" si="33"/>
        <v>84.600105848002926</v>
      </c>
      <c r="N186" s="12">
        <f t="shared" si="34"/>
        <v>138.84965488456859</v>
      </c>
      <c r="O186" s="14">
        <f t="shared" si="35"/>
        <v>6.7111760231924888E-2</v>
      </c>
      <c r="P186" s="15">
        <f t="shared" si="29"/>
        <v>1.6592083469683785E-2</v>
      </c>
    </row>
    <row r="187" spans="1:16" x14ac:dyDescent="0.3">
      <c r="A187">
        <v>185</v>
      </c>
      <c r="B187" s="3">
        <v>44979</v>
      </c>
      <c r="C187">
        <v>82.74</v>
      </c>
      <c r="D187">
        <v>83.23</v>
      </c>
      <c r="E187">
        <v>80.400000000000006</v>
      </c>
      <c r="F187">
        <v>80.599999999999994</v>
      </c>
      <c r="G187" s="5">
        <f t="shared" si="30"/>
        <v>-1.3004594982322665E-2</v>
      </c>
      <c r="H187" s="5">
        <f t="shared" ca="1" si="31"/>
        <v>-43.515612729844769</v>
      </c>
      <c r="I187">
        <f t="shared" ca="1" si="26"/>
        <v>78.398502598490367</v>
      </c>
      <c r="J187">
        <f t="shared" ca="1" si="32"/>
        <v>7.5174126733416424E-4</v>
      </c>
      <c r="K187" s="12">
        <f t="shared" si="27"/>
        <v>111.69496174238432</v>
      </c>
      <c r="L187" s="12">
        <f t="shared" si="28"/>
        <v>0.12420701580426301</v>
      </c>
      <c r="M187" s="12">
        <f t="shared" si="33"/>
        <v>84.503297900734282</v>
      </c>
      <c r="N187" s="12">
        <f t="shared" si="34"/>
        <v>138.88662558403436</v>
      </c>
      <c r="O187" s="14">
        <f t="shared" si="35"/>
        <v>7.4330345293731948E-2</v>
      </c>
      <c r="P187" s="15">
        <f t="shared" si="29"/>
        <v>2.0078476777411678E-2</v>
      </c>
    </row>
    <row r="188" spans="1:16" x14ac:dyDescent="0.3">
      <c r="A188">
        <v>186</v>
      </c>
      <c r="B188" s="3">
        <v>44980</v>
      </c>
      <c r="C188">
        <v>80.47</v>
      </c>
      <c r="D188">
        <v>82.75</v>
      </c>
      <c r="E188">
        <v>80.34</v>
      </c>
      <c r="F188">
        <v>82.21</v>
      </c>
      <c r="G188" s="5">
        <f t="shared" si="30"/>
        <v>8.5896064000578302E-3</v>
      </c>
      <c r="H188" s="5">
        <f t="shared" ca="1" si="31"/>
        <v>-42.080761482005869</v>
      </c>
      <c r="I188">
        <f t="shared" ca="1" si="26"/>
        <v>79.425241755997661</v>
      </c>
      <c r="J188">
        <f t="shared" ca="1" si="32"/>
        <v>1.3011396313515437E-2</v>
      </c>
      <c r="K188" s="12">
        <f t="shared" si="27"/>
        <v>111.66505113034249</v>
      </c>
      <c r="L188" s="12">
        <f t="shared" si="28"/>
        <v>0.12454484125055089</v>
      </c>
      <c r="M188" s="12">
        <f t="shared" si="33"/>
        <v>84.406731240466712</v>
      </c>
      <c r="N188" s="12">
        <f t="shared" si="34"/>
        <v>138.92337102021827</v>
      </c>
      <c r="O188" s="14">
        <f t="shared" si="35"/>
        <v>6.9450576575111056E-2</v>
      </c>
      <c r="P188" s="15">
        <f t="shared" si="29"/>
        <v>1.7687037218037528E-2</v>
      </c>
    </row>
    <row r="189" spans="1:16" x14ac:dyDescent="0.3">
      <c r="A189">
        <v>187</v>
      </c>
      <c r="B189" s="3">
        <v>44981</v>
      </c>
      <c r="C189">
        <v>82.35</v>
      </c>
      <c r="D189">
        <v>83.38</v>
      </c>
      <c r="E189">
        <v>81.069999999999993</v>
      </c>
      <c r="F189">
        <v>83.16</v>
      </c>
      <c r="G189" s="5">
        <f t="shared" si="30"/>
        <v>4.9898324542830708E-3</v>
      </c>
      <c r="H189" s="5">
        <f t="shared" ca="1" si="31"/>
        <v>-42.70853212803393</v>
      </c>
      <c r="I189">
        <f t="shared" ca="1" si="26"/>
        <v>78.969685184799204</v>
      </c>
      <c r="J189">
        <f t="shared" ca="1" si="32"/>
        <v>-5.7521769932934322E-3</v>
      </c>
      <c r="K189" s="12">
        <f t="shared" si="27"/>
        <v>111.63514852801477</v>
      </c>
      <c r="L189" s="12">
        <f t="shared" si="28"/>
        <v>0.12488178067192593</v>
      </c>
      <c r="M189" s="12">
        <f t="shared" si="33"/>
        <v>84.310404105858083</v>
      </c>
      <c r="N189" s="12">
        <f t="shared" si="34"/>
        <v>138.95989295017145</v>
      </c>
      <c r="O189" s="14">
        <f t="shared" si="35"/>
        <v>6.6610505396269046E-2</v>
      </c>
      <c r="P189" s="15">
        <f t="shared" si="29"/>
        <v>1.6354950200012288E-2</v>
      </c>
    </row>
    <row r="190" spans="1:16" x14ac:dyDescent="0.3">
      <c r="A190">
        <v>188</v>
      </c>
      <c r="B190" s="3">
        <v>44984</v>
      </c>
      <c r="C190">
        <v>83.12</v>
      </c>
      <c r="D190">
        <v>83.63</v>
      </c>
      <c r="E190">
        <v>81.739999999999995</v>
      </c>
      <c r="F190">
        <v>82.45</v>
      </c>
      <c r="G190" s="5">
        <f t="shared" si="30"/>
        <v>-3.7238206788939767E-3</v>
      </c>
      <c r="H190" s="5">
        <f t="shared" ca="1" si="31"/>
        <v>-42.523214897412167</v>
      </c>
      <c r="I190">
        <f t="shared" ca="1" si="26"/>
        <v>79.099653303568047</v>
      </c>
      <c r="J190">
        <f t="shared" ca="1" si="32"/>
        <v>1.6444447645575296E-3</v>
      </c>
      <c r="K190" s="12">
        <f t="shared" si="27"/>
        <v>111.60525393325626</v>
      </c>
      <c r="L190" s="12">
        <f t="shared" si="28"/>
        <v>0.1252178412231022</v>
      </c>
      <c r="M190" s="12">
        <f t="shared" si="33"/>
        <v>84.214314758566431</v>
      </c>
      <c r="N190" s="12">
        <f t="shared" si="34"/>
        <v>138.99619310794608</v>
      </c>
      <c r="O190" s="14">
        <f t="shared" si="35"/>
        <v>6.8622597277169406E-2</v>
      </c>
      <c r="P190" s="15">
        <f t="shared" si="29"/>
        <v>1.7290666767329814E-2</v>
      </c>
    </row>
    <row r="191" spans="1:16" x14ac:dyDescent="0.3">
      <c r="A191">
        <v>189</v>
      </c>
      <c r="B191" s="3">
        <v>44985</v>
      </c>
      <c r="C191">
        <v>82.64</v>
      </c>
      <c r="D191">
        <v>84.12</v>
      </c>
      <c r="E191">
        <v>82.61</v>
      </c>
      <c r="F191">
        <v>83.89</v>
      </c>
      <c r="G191" s="5">
        <f t="shared" si="30"/>
        <v>7.5195344160251757E-3</v>
      </c>
      <c r="H191" s="5">
        <f t="shared" ca="1" si="31"/>
        <v>-43.326346792126209</v>
      </c>
      <c r="I191">
        <f t="shared" ca="1" si="26"/>
        <v>78.520604010035328</v>
      </c>
      <c r="J191">
        <f t="shared" ca="1" si="32"/>
        <v>-7.3474299355203703E-3</v>
      </c>
      <c r="K191" s="12">
        <f t="shared" si="27"/>
        <v>111.57536734392265</v>
      </c>
      <c r="L191" s="12">
        <f t="shared" si="28"/>
        <v>0.1255530299636371</v>
      </c>
      <c r="M191" s="12">
        <f t="shared" si="33"/>
        <v>84.118461482825396</v>
      </c>
      <c r="N191" s="12">
        <f t="shared" si="34"/>
        <v>139.03227320501992</v>
      </c>
      <c r="O191" s="14">
        <f t="shared" si="35"/>
        <v>6.438502604173639E-2</v>
      </c>
      <c r="P191" s="15">
        <f t="shared" si="29"/>
        <v>1.5340836605641835E-2</v>
      </c>
    </row>
    <row r="192" spans="1:16" x14ac:dyDescent="0.3">
      <c r="A192">
        <v>190</v>
      </c>
      <c r="B192" s="3">
        <v>44986</v>
      </c>
      <c r="C192">
        <v>83.1</v>
      </c>
      <c r="D192">
        <v>84.49</v>
      </c>
      <c r="E192">
        <v>82.61</v>
      </c>
      <c r="F192">
        <v>84.31</v>
      </c>
      <c r="G192" s="5">
        <f t="shared" si="30"/>
        <v>2.1688949049380379E-3</v>
      </c>
      <c r="H192" s="5">
        <f t="shared" ca="1" si="31"/>
        <v>-43.637415214597382</v>
      </c>
      <c r="I192">
        <f t="shared" ca="1" si="26"/>
        <v>78.295482760192783</v>
      </c>
      <c r="J192">
        <f t="shared" ca="1" si="32"/>
        <v>-2.8711519223349464E-3</v>
      </c>
      <c r="K192" s="12">
        <f t="shared" si="27"/>
        <v>111.54548875787016</v>
      </c>
      <c r="L192" s="12">
        <f t="shared" si="28"/>
        <v>0.12588735385968813</v>
      </c>
      <c r="M192" s="12">
        <f t="shared" si="33"/>
        <v>84.022842585030986</v>
      </c>
      <c r="N192" s="12">
        <f t="shared" si="34"/>
        <v>139.06813493070933</v>
      </c>
      <c r="O192" s="14">
        <f t="shared" si="35"/>
        <v>6.3125936693676804E-2</v>
      </c>
      <c r="P192" s="15">
        <f t="shared" si="29"/>
        <v>1.4779975234975082E-2</v>
      </c>
    </row>
    <row r="193" spans="1:16" x14ac:dyDescent="0.3">
      <c r="A193">
        <v>191</v>
      </c>
      <c r="B193" s="3">
        <v>44987</v>
      </c>
      <c r="C193">
        <v>84.31</v>
      </c>
      <c r="D193">
        <v>85.09</v>
      </c>
      <c r="E193">
        <v>83.84</v>
      </c>
      <c r="F193">
        <v>84.75</v>
      </c>
      <c r="G193" s="5">
        <f t="shared" si="30"/>
        <v>2.2606175736189721E-3</v>
      </c>
      <c r="H193" s="5">
        <f t="shared" ca="1" si="31"/>
        <v>-45.26617001862401</v>
      </c>
      <c r="I193">
        <f t="shared" ca="1" si="26"/>
        <v>77.140761747545113</v>
      </c>
      <c r="J193">
        <f t="shared" ca="1" si="32"/>
        <v>-1.4858082289561137E-2</v>
      </c>
      <c r="K193" s="12">
        <f t="shared" si="27"/>
        <v>111.5156181729556</v>
      </c>
      <c r="L193" s="12">
        <f t="shared" si="28"/>
        <v>0.12622081978573385</v>
      </c>
      <c r="M193" s="12">
        <f t="shared" si="33"/>
        <v>83.927456393337053</v>
      </c>
      <c r="N193" s="12">
        <f t="shared" si="34"/>
        <v>139.10377995257414</v>
      </c>
      <c r="O193" s="14">
        <f t="shared" si="35"/>
        <v>6.181916636287977E-2</v>
      </c>
      <c r="P193" s="15">
        <f t="shared" si="29"/>
        <v>1.4207683867634277E-2</v>
      </c>
    </row>
    <row r="194" spans="1:16" x14ac:dyDescent="0.3">
      <c r="A194">
        <v>192</v>
      </c>
      <c r="B194" s="3">
        <v>44988</v>
      </c>
      <c r="C194">
        <v>84.41</v>
      </c>
      <c r="D194">
        <v>86</v>
      </c>
      <c r="E194">
        <v>82.36</v>
      </c>
      <c r="F194">
        <v>85.83</v>
      </c>
      <c r="G194" s="5">
        <f t="shared" si="30"/>
        <v>5.499405649805258E-3</v>
      </c>
      <c r="H194" s="5">
        <f t="shared" ca="1" si="31"/>
        <v>-45.034388311844673</v>
      </c>
      <c r="I194">
        <f t="shared" ref="I194:I257" ca="1" si="36">F$2*EXP((Mu-(0.5*(sigma^2))*A194)+sigma*H194)</f>
        <v>77.300386648149029</v>
      </c>
      <c r="J194">
        <f t="shared" ca="1" si="32"/>
        <v>2.0671298951371389E-3</v>
      </c>
      <c r="K194" s="12">
        <f t="shared" ref="K194:K257" si="37">($I$2*EXP(Mu*A194))</f>
        <v>111.48575558703638</v>
      </c>
      <c r="L194" s="12">
        <f t="shared" ref="L194:L257" si="38">SQRT(EXP((sigma^2)*A194)-1)</f>
        <v>0.12655343452625473</v>
      </c>
      <c r="M194" s="12">
        <f t="shared" si="33"/>
        <v>83.832301257260056</v>
      </c>
      <c r="N194" s="12">
        <f t="shared" si="34"/>
        <v>139.13920991681272</v>
      </c>
      <c r="O194" s="14">
        <f t="shared" si="35"/>
        <v>5.8739124760956281E-2</v>
      </c>
      <c r="P194" s="15">
        <f t="shared" ref="P194:P257" si="39">(LOG10(F194)-LOG10(K194))^2</f>
        <v>1.2900477522755584E-2</v>
      </c>
    </row>
    <row r="195" spans="1:16" x14ac:dyDescent="0.3">
      <c r="A195">
        <v>193</v>
      </c>
      <c r="B195" s="3">
        <v>44991</v>
      </c>
      <c r="C195">
        <v>85.93</v>
      </c>
      <c r="D195">
        <v>86.36</v>
      </c>
      <c r="E195">
        <v>84.35</v>
      </c>
      <c r="F195">
        <v>86.18</v>
      </c>
      <c r="G195" s="5">
        <f t="shared" ref="G195:G258" si="40">IFERROR(LOG10(F195/F194),0)</f>
        <v>1.7673772274239164E-3</v>
      </c>
      <c r="H195" s="5">
        <f t="shared" ref="H195:H258" ca="1" si="41">H194+(SQRT(DeltaT)*_xlfn.NORM.S.INV(RAND()))</f>
        <v>-44.306780283503933</v>
      </c>
      <c r="I195">
        <f t="shared" ca="1" si="36"/>
        <v>77.810516523032888</v>
      </c>
      <c r="J195">
        <f t="shared" ref="J195:J258" ca="1" si="42">IFERROR(LN(I195/I194),0)</f>
        <v>6.5776383696790142E-3</v>
      </c>
      <c r="K195" s="12">
        <f t="shared" si="37"/>
        <v>111.45590099797043</v>
      </c>
      <c r="L195" s="12">
        <f t="shared" si="38"/>
        <v>0.12688520477736911</v>
      </c>
      <c r="M195" s="12">
        <f t="shared" ref="M195:M258" si="43">(1-1.96*L195)*K195</f>
        <v>83.737375547294064</v>
      </c>
      <c r="N195" s="12">
        <f t="shared" ref="N195:N258" si="44">(1+1.96*L195)*K195</f>
        <v>139.17442644864681</v>
      </c>
      <c r="O195" s="14">
        <f t="shared" ref="O195:O258" si="45">ABS((LOG10(F195)-LOG10(K195))/LOG10(F195))</f>
        <v>5.7712205601324944E-2</v>
      </c>
      <c r="P195" s="15">
        <f t="shared" si="39"/>
        <v>1.2476125371314584E-2</v>
      </c>
    </row>
    <row r="196" spans="1:16" x14ac:dyDescent="0.3">
      <c r="A196">
        <v>194</v>
      </c>
      <c r="B196" s="3">
        <v>44992</v>
      </c>
      <c r="C196">
        <v>86.23</v>
      </c>
      <c r="D196">
        <v>86.76</v>
      </c>
      <c r="E196">
        <v>82.65</v>
      </c>
      <c r="F196">
        <v>83.29</v>
      </c>
      <c r="G196" s="5">
        <f t="shared" si="40"/>
        <v>-1.4813627667540444E-2</v>
      </c>
      <c r="H196" s="5">
        <f t="shared" ca="1" si="41"/>
        <v>-43.533768479028872</v>
      </c>
      <c r="I196">
        <f t="shared" ca="1" si="36"/>
        <v>78.356370225806103</v>
      </c>
      <c r="J196">
        <f t="shared" ca="1" si="42"/>
        <v>6.9906743625751397E-3</v>
      </c>
      <c r="K196" s="12">
        <f t="shared" si="37"/>
        <v>111.42605440361631</v>
      </c>
      <c r="L196" s="12">
        <f t="shared" si="38"/>
        <v>0.12721613714843735</v>
      </c>
      <c r="M196" s="12">
        <f t="shared" si="43"/>
        <v>83.642677654533713</v>
      </c>
      <c r="N196" s="12">
        <f t="shared" si="44"/>
        <v>139.2094311526989</v>
      </c>
      <c r="O196" s="14">
        <f t="shared" si="45"/>
        <v>6.5809830305184891E-2</v>
      </c>
      <c r="P196" s="15">
        <f t="shared" si="39"/>
        <v>1.597541551506523E-2</v>
      </c>
    </row>
    <row r="197" spans="1:16" x14ac:dyDescent="0.3">
      <c r="A197">
        <v>195</v>
      </c>
      <c r="B197" s="3">
        <v>44993</v>
      </c>
      <c r="C197">
        <v>82.98</v>
      </c>
      <c r="D197">
        <v>83.59</v>
      </c>
      <c r="E197">
        <v>82.05</v>
      </c>
      <c r="F197">
        <v>82.66</v>
      </c>
      <c r="G197" s="5">
        <f t="shared" si="40"/>
        <v>-3.2974611391191739E-3</v>
      </c>
      <c r="H197" s="5">
        <f t="shared" ca="1" si="41"/>
        <v>-42.114892564657509</v>
      </c>
      <c r="I197">
        <f t="shared" ca="1" si="36"/>
        <v>79.371022021635341</v>
      </c>
      <c r="J197">
        <f t="shared" ca="1" si="42"/>
        <v>1.2866069464464728E-2</v>
      </c>
      <c r="K197" s="12">
        <f t="shared" si="37"/>
        <v>111.39621580183312</v>
      </c>
      <c r="L197" s="12">
        <f t="shared" si="38"/>
        <v>0.1275462381636269</v>
      </c>
      <c r="M197" s="12">
        <f t="shared" si="43"/>
        <v>83.548205990305846</v>
      </c>
      <c r="N197" s="12">
        <f t="shared" si="44"/>
        <v>139.24422561336038</v>
      </c>
      <c r="O197" s="14">
        <f t="shared" si="45"/>
        <v>6.7582197728759966E-2</v>
      </c>
      <c r="P197" s="15">
        <f t="shared" si="39"/>
        <v>1.6789690185343837E-2</v>
      </c>
    </row>
    <row r="198" spans="1:16" x14ac:dyDescent="0.3">
      <c r="A198">
        <v>196</v>
      </c>
      <c r="B198" s="3">
        <v>44994</v>
      </c>
      <c r="C198">
        <v>82.62</v>
      </c>
      <c r="D198">
        <v>84.01</v>
      </c>
      <c r="E198">
        <v>81.41</v>
      </c>
      <c r="F198">
        <v>81.59</v>
      </c>
      <c r="G198" s="5">
        <f t="shared" si="40"/>
        <v>-5.6584678162471926E-3</v>
      </c>
      <c r="H198" s="5">
        <f t="shared" ca="1" si="41"/>
        <v>-41.799474092219562</v>
      </c>
      <c r="I198">
        <f t="shared" ca="1" si="36"/>
        <v>79.59579853790494</v>
      </c>
      <c r="J198">
        <f t="shared" ca="1" si="42"/>
        <v>2.8279695760527715E-3</v>
      </c>
      <c r="K198" s="12">
        <f t="shared" si="37"/>
        <v>111.36638519048056</v>
      </c>
      <c r="L198" s="12">
        <f t="shared" si="38"/>
        <v>0.12787551426343702</v>
      </c>
      <c r="M198" s="12">
        <f t="shared" si="43"/>
        <v>83.453958985810829</v>
      </c>
      <c r="N198" s="12">
        <f t="shared" si="44"/>
        <v>139.27881139515029</v>
      </c>
      <c r="O198" s="14">
        <f t="shared" si="45"/>
        <v>7.0681408053301822E-2</v>
      </c>
      <c r="P198" s="15">
        <f t="shared" si="39"/>
        <v>1.8256655066001121E-2</v>
      </c>
    </row>
    <row r="199" spans="1:16" x14ac:dyDescent="0.3">
      <c r="A199">
        <v>197</v>
      </c>
      <c r="B199" s="3">
        <v>44995</v>
      </c>
      <c r="C199">
        <v>81.47</v>
      </c>
      <c r="D199">
        <v>83.08</v>
      </c>
      <c r="E199">
        <v>80.73</v>
      </c>
      <c r="F199">
        <v>82.78</v>
      </c>
      <c r="G199" s="5">
        <f t="shared" si="40"/>
        <v>6.2884889352990362E-3</v>
      </c>
      <c r="H199" s="5">
        <f t="shared" ca="1" si="41"/>
        <v>-40.296186814287196</v>
      </c>
      <c r="I199">
        <f t="shared" ca="1" si="36"/>
        <v>80.688435680993564</v>
      </c>
      <c r="J199">
        <f t="shared" ca="1" si="42"/>
        <v>1.3633955625672468E-2</v>
      </c>
      <c r="K199" s="12">
        <f t="shared" si="37"/>
        <v>111.33656256741885</v>
      </c>
      <c r="L199" s="12">
        <f t="shared" si="38"/>
        <v>0.12820397180619469</v>
      </c>
      <c r="M199" s="12">
        <f t="shared" si="43"/>
        <v>83.359935091770538</v>
      </c>
      <c r="N199" s="12">
        <f t="shared" si="44"/>
        <v>139.31319004306715</v>
      </c>
      <c r="O199" s="14">
        <f t="shared" si="45"/>
        <v>6.7110214566791754E-2</v>
      </c>
      <c r="P199" s="15">
        <f t="shared" si="39"/>
        <v>1.65668784637194E-2</v>
      </c>
    </row>
    <row r="200" spans="1:16" x14ac:dyDescent="0.3">
      <c r="A200">
        <v>198</v>
      </c>
      <c r="B200" s="3">
        <v>44998</v>
      </c>
      <c r="C200">
        <v>82.54</v>
      </c>
      <c r="D200">
        <v>83.47</v>
      </c>
      <c r="E200">
        <v>78.34</v>
      </c>
      <c r="F200">
        <v>80.77</v>
      </c>
      <c r="G200" s="5">
        <f t="shared" si="40"/>
        <v>-1.0675339183412744E-2</v>
      </c>
      <c r="H200" s="5">
        <f t="shared" ca="1" si="41"/>
        <v>-42.15870433681394</v>
      </c>
      <c r="I200">
        <f t="shared" ca="1" si="36"/>
        <v>79.329546785497925</v>
      </c>
      <c r="J200">
        <f t="shared" ca="1" si="42"/>
        <v>-1.6984610626149546E-2</v>
      </c>
      <c r="K200" s="12">
        <f t="shared" si="37"/>
        <v>111.30674793050883</v>
      </c>
      <c r="L200" s="12">
        <f t="shared" si="38"/>
        <v>0.12853161706951183</v>
      </c>
      <c r="M200" s="12">
        <f t="shared" si="43"/>
        <v>83.266132778085435</v>
      </c>
      <c r="N200" s="12">
        <f t="shared" si="44"/>
        <v>139.34736308293222</v>
      </c>
      <c r="O200" s="14">
        <f t="shared" si="45"/>
        <v>7.3022102578056011E-2</v>
      </c>
      <c r="P200" s="15">
        <f t="shared" si="39"/>
        <v>1.939652597601452E-2</v>
      </c>
    </row>
    <row r="201" spans="1:16" x14ac:dyDescent="0.3">
      <c r="A201">
        <v>199</v>
      </c>
      <c r="B201" s="3">
        <v>44999</v>
      </c>
      <c r="C201">
        <v>80.69</v>
      </c>
      <c r="D201">
        <v>80.88</v>
      </c>
      <c r="E201">
        <v>76.88</v>
      </c>
      <c r="F201">
        <v>77.45</v>
      </c>
      <c r="G201" s="5">
        <f t="shared" si="40"/>
        <v>-1.8228660786103554E-2</v>
      </c>
      <c r="H201" s="5">
        <f t="shared" ca="1" si="41"/>
        <v>-42.940623403994273</v>
      </c>
      <c r="I201">
        <f t="shared" ca="1" si="36"/>
        <v>78.764012345063279</v>
      </c>
      <c r="J201">
        <f t="shared" ca="1" si="42"/>
        <v>-7.1544578519518722E-3</v>
      </c>
      <c r="K201" s="12">
        <f t="shared" si="37"/>
        <v>111.27694127761194</v>
      </c>
      <c r="L201" s="12">
        <f t="shared" si="38"/>
        <v>0.12885845625171569</v>
      </c>
      <c r="M201" s="12">
        <f t="shared" si="43"/>
        <v>83.172550533497983</v>
      </c>
      <c r="N201" s="12">
        <f t="shared" si="44"/>
        <v>139.38133202172591</v>
      </c>
      <c r="O201" s="14">
        <f t="shared" si="45"/>
        <v>8.3314966973000226E-2</v>
      </c>
      <c r="P201" s="15">
        <f t="shared" si="39"/>
        <v>2.4769647091187022E-2</v>
      </c>
    </row>
    <row r="202" spans="1:16" x14ac:dyDescent="0.3">
      <c r="A202">
        <v>200</v>
      </c>
      <c r="B202" s="3">
        <v>45000</v>
      </c>
      <c r="C202">
        <v>77.569999999999993</v>
      </c>
      <c r="D202">
        <v>78.709999999999994</v>
      </c>
      <c r="E202">
        <v>71.63</v>
      </c>
      <c r="F202">
        <v>73.69</v>
      </c>
      <c r="G202" s="5">
        <f t="shared" si="40"/>
        <v>-2.1612865572433589E-2</v>
      </c>
      <c r="H202" s="5">
        <f t="shared" ca="1" si="41"/>
        <v>-42.801093296481881</v>
      </c>
      <c r="I202">
        <f t="shared" ca="1" si="36"/>
        <v>78.860787772019222</v>
      </c>
      <c r="J202">
        <f t="shared" ca="1" si="42"/>
        <v>1.2279214824547776E-3</v>
      </c>
      <c r="K202" s="12">
        <f t="shared" si="37"/>
        <v>111.2471426065901</v>
      </c>
      <c r="L202" s="12">
        <f t="shared" si="38"/>
        <v>0.12918449547323474</v>
      </c>
      <c r="M202" s="12">
        <f t="shared" si="43"/>
        <v>83.07918686526628</v>
      </c>
      <c r="N202" s="12">
        <f t="shared" si="44"/>
        <v>139.41509834791393</v>
      </c>
      <c r="O202" s="14">
        <f t="shared" si="45"/>
        <v>9.5790665493980451E-2</v>
      </c>
      <c r="P202" s="15">
        <f t="shared" si="39"/>
        <v>3.1998164725577087E-2</v>
      </c>
    </row>
    <row r="203" spans="1:16" x14ac:dyDescent="0.3">
      <c r="A203">
        <v>201</v>
      </c>
      <c r="B203" s="3">
        <v>45001</v>
      </c>
      <c r="C203">
        <v>74.349999999999994</v>
      </c>
      <c r="D203">
        <v>75.52</v>
      </c>
      <c r="E203">
        <v>71.86</v>
      </c>
      <c r="F203">
        <v>74.7</v>
      </c>
      <c r="G203" s="5">
        <f t="shared" si="40"/>
        <v>5.9120452926075514E-3</v>
      </c>
      <c r="H203" s="5">
        <f t="shared" ca="1" si="41"/>
        <v>-41.64181774468441</v>
      </c>
      <c r="I203">
        <f t="shared" ca="1" si="36"/>
        <v>79.69354690540797</v>
      </c>
      <c r="J203">
        <f t="shared" ca="1" si="42"/>
        <v>1.050449730811702E-2</v>
      </c>
      <c r="K203" s="12">
        <f t="shared" si="37"/>
        <v>111.2173519153059</v>
      </c>
      <c r="L203" s="12">
        <f t="shared" si="38"/>
        <v>0.12950974077796887</v>
      </c>
      <c r="M203" s="12">
        <f t="shared" si="43"/>
        <v>82.986040298841615</v>
      </c>
      <c r="N203" s="12">
        <f t="shared" si="44"/>
        <v>139.44866353177017</v>
      </c>
      <c r="O203" s="14">
        <f t="shared" si="45"/>
        <v>9.2270350484183208E-2</v>
      </c>
      <c r="P203" s="15">
        <f t="shared" si="39"/>
        <v>2.987779609981378E-2</v>
      </c>
    </row>
    <row r="204" spans="1:16" x14ac:dyDescent="0.3">
      <c r="A204">
        <v>202</v>
      </c>
      <c r="B204" s="3">
        <v>45002</v>
      </c>
      <c r="C204">
        <v>74.55</v>
      </c>
      <c r="D204">
        <v>75.900000000000006</v>
      </c>
      <c r="E204">
        <v>71.349999999999994</v>
      </c>
      <c r="F204">
        <v>72.97</v>
      </c>
      <c r="G204" s="5">
        <f t="shared" si="40"/>
        <v>-1.0176255562731325E-2</v>
      </c>
      <c r="H204" s="5">
        <f t="shared" ca="1" si="41"/>
        <v>-42.559565499705521</v>
      </c>
      <c r="I204">
        <f t="shared" ca="1" si="36"/>
        <v>79.027708402196268</v>
      </c>
      <c r="J204">
        <f t="shared" ca="1" si="42"/>
        <v>-8.3900849676374727E-3</v>
      </c>
      <c r="K204" s="12">
        <f t="shared" si="37"/>
        <v>111.18756920162244</v>
      </c>
      <c r="L204" s="12">
        <f t="shared" si="38"/>
        <v>0.129834198134617</v>
      </c>
      <c r="M204" s="12">
        <f t="shared" si="43"/>
        <v>82.893109377555859</v>
      </c>
      <c r="N204" s="12">
        <f t="shared" si="44"/>
        <v>139.482029025689</v>
      </c>
      <c r="O204" s="14">
        <f t="shared" si="45"/>
        <v>9.8173761921481195E-2</v>
      </c>
      <c r="P204" s="15">
        <f t="shared" si="39"/>
        <v>3.3456759311081621E-2</v>
      </c>
    </row>
    <row r="205" spans="1:16" x14ac:dyDescent="0.3">
      <c r="A205">
        <v>203</v>
      </c>
      <c r="B205" s="3">
        <v>45005</v>
      </c>
      <c r="C205">
        <v>72.89</v>
      </c>
      <c r="D205">
        <v>73.849999999999994</v>
      </c>
      <c r="E205">
        <v>70.13</v>
      </c>
      <c r="F205">
        <v>73.790000000000006</v>
      </c>
      <c r="G205" s="5">
        <f t="shared" si="40"/>
        <v>4.8531640922837536E-3</v>
      </c>
      <c r="H205" s="5">
        <f t="shared" ca="1" si="41"/>
        <v>-43.149334232473841</v>
      </c>
      <c r="I205">
        <f t="shared" ca="1" si="36"/>
        <v>78.601599951546163</v>
      </c>
      <c r="J205">
        <f t="shared" ca="1" si="42"/>
        <v>-5.4064753950663572E-3</v>
      </c>
      <c r="K205" s="12">
        <f t="shared" si="37"/>
        <v>111.15779446340339</v>
      </c>
      <c r="L205" s="12">
        <f t="shared" si="38"/>
        <v>0.13015787343798116</v>
      </c>
      <c r="M205" s="12">
        <f t="shared" si="43"/>
        <v>82.800392662314337</v>
      </c>
      <c r="N205" s="12">
        <f t="shared" si="44"/>
        <v>139.51519626449243</v>
      </c>
      <c r="O205" s="14">
        <f t="shared" si="45"/>
        <v>9.5258376849818971E-2</v>
      </c>
      <c r="P205" s="15">
        <f t="shared" si="39"/>
        <v>3.1663501559523355E-2</v>
      </c>
    </row>
    <row r="206" spans="1:16" x14ac:dyDescent="0.3">
      <c r="A206">
        <v>204</v>
      </c>
      <c r="B206" s="3">
        <v>45006</v>
      </c>
      <c r="C206">
        <v>73.739999999999995</v>
      </c>
      <c r="D206">
        <v>75.400000000000006</v>
      </c>
      <c r="E206">
        <v>72.81</v>
      </c>
      <c r="F206">
        <v>75.319999999999993</v>
      </c>
      <c r="G206" s="5">
        <f t="shared" si="40"/>
        <v>8.9128009996758788E-3</v>
      </c>
      <c r="H206" s="5">
        <f t="shared" ca="1" si="41"/>
        <v>-42.721458870380616</v>
      </c>
      <c r="I206">
        <f t="shared" ca="1" si="36"/>
        <v>78.904877081912034</v>
      </c>
      <c r="J206">
        <f t="shared" ca="1" si="42"/>
        <v>3.8509845547927764E-3</v>
      </c>
      <c r="K206" s="12">
        <f t="shared" si="37"/>
        <v>111.12802769851305</v>
      </c>
      <c r="L206" s="12">
        <f t="shared" si="38"/>
        <v>0.13048077251023635</v>
      </c>
      <c r="M206" s="12">
        <f t="shared" si="43"/>
        <v>82.707888731296848</v>
      </c>
      <c r="N206" s="12">
        <f t="shared" si="44"/>
        <v>139.54816666572927</v>
      </c>
      <c r="O206" s="14">
        <f t="shared" si="45"/>
        <v>8.9995400519250507E-2</v>
      </c>
      <c r="P206" s="15">
        <f t="shared" si="39"/>
        <v>2.8531701298082687E-2</v>
      </c>
    </row>
    <row r="207" spans="1:16" x14ac:dyDescent="0.3">
      <c r="A207">
        <v>205</v>
      </c>
      <c r="B207" s="3">
        <v>45007</v>
      </c>
      <c r="C207">
        <v>75.09</v>
      </c>
      <c r="D207">
        <v>77.09</v>
      </c>
      <c r="E207">
        <v>74.52</v>
      </c>
      <c r="F207">
        <v>76.69</v>
      </c>
      <c r="G207" s="5">
        <f t="shared" si="40"/>
        <v>7.82842642500459E-3</v>
      </c>
      <c r="H207" s="5">
        <f t="shared" ca="1" si="41"/>
        <v>-43.237217774982497</v>
      </c>
      <c r="I207">
        <f t="shared" ca="1" si="36"/>
        <v>78.532286081373556</v>
      </c>
      <c r="J207">
        <f t="shared" ca="1" si="42"/>
        <v>-4.7332115068304762E-3</v>
      </c>
      <c r="K207" s="12">
        <f t="shared" si="37"/>
        <v>111.09826890481624</v>
      </c>
      <c r="L207" s="12">
        <f t="shared" si="38"/>
        <v>0.13080290110218296</v>
      </c>
      <c r="M207" s="12">
        <f t="shared" si="43"/>
        <v>82.615596179662646</v>
      </c>
      <c r="N207" s="12">
        <f t="shared" si="44"/>
        <v>139.58094162996983</v>
      </c>
      <c r="O207" s="14">
        <f t="shared" si="45"/>
        <v>8.5406295827790774E-2</v>
      </c>
      <c r="P207" s="15">
        <f t="shared" si="39"/>
        <v>2.5910875439966737E-2</v>
      </c>
    </row>
    <row r="208" spans="1:16" x14ac:dyDescent="0.3">
      <c r="A208">
        <v>206</v>
      </c>
      <c r="B208" s="3">
        <v>45008</v>
      </c>
      <c r="C208">
        <v>75.739999999999995</v>
      </c>
      <c r="D208">
        <v>77.430000000000007</v>
      </c>
      <c r="E208">
        <v>75.12</v>
      </c>
      <c r="F208">
        <v>75.91</v>
      </c>
      <c r="G208" s="5">
        <f t="shared" si="40"/>
        <v>-4.4397463438792034E-3</v>
      </c>
      <c r="H208" s="5">
        <f t="shared" ca="1" si="41"/>
        <v>-42.039071253522174</v>
      </c>
      <c r="I208">
        <f t="shared" ca="1" si="36"/>
        <v>79.389644081748159</v>
      </c>
      <c r="J208">
        <f t="shared" ca="1" si="42"/>
        <v>1.0858104671126387E-2</v>
      </c>
      <c r="K208" s="12">
        <f t="shared" si="37"/>
        <v>111.06851808017836</v>
      </c>
      <c r="L208" s="12">
        <f t="shared" si="38"/>
        <v>0.1311242648944578</v>
      </c>
      <c r="M208" s="12">
        <f t="shared" si="43"/>
        <v>82.523513619265216</v>
      </c>
      <c r="N208" s="12">
        <f t="shared" si="44"/>
        <v>139.61352254109153</v>
      </c>
      <c r="O208" s="14">
        <f t="shared" si="45"/>
        <v>8.7907288525150562E-2</v>
      </c>
      <c r="P208" s="15">
        <f t="shared" si="39"/>
        <v>2.7321440620225013E-2</v>
      </c>
    </row>
    <row r="209" spans="1:16" x14ac:dyDescent="0.3">
      <c r="A209">
        <v>207</v>
      </c>
      <c r="B209" s="3">
        <v>45009</v>
      </c>
      <c r="C209">
        <v>75.42</v>
      </c>
      <c r="D209">
        <v>76.28</v>
      </c>
      <c r="E209">
        <v>72.69</v>
      </c>
      <c r="F209">
        <v>74.989999999999995</v>
      </c>
      <c r="G209" s="5">
        <f t="shared" si="40"/>
        <v>-5.295637825711564E-3</v>
      </c>
      <c r="H209" s="5">
        <f t="shared" ca="1" si="41"/>
        <v>-42.291139170208496</v>
      </c>
      <c r="I209">
        <f t="shared" ca="1" si="36"/>
        <v>79.20453089375124</v>
      </c>
      <c r="J209">
        <f t="shared" ca="1" si="42"/>
        <v>-2.3344271262270904E-3</v>
      </c>
      <c r="K209" s="12">
        <f t="shared" si="37"/>
        <v>111.03877522246539</v>
      </c>
      <c r="L209" s="12">
        <f t="shared" si="38"/>
        <v>0.13144486949872994</v>
      </c>
      <c r="M209" s="12">
        <f t="shared" si="43"/>
        <v>82.431639678370473</v>
      </c>
      <c r="N209" s="12">
        <f t="shared" si="44"/>
        <v>139.64591076656032</v>
      </c>
      <c r="O209" s="14">
        <f t="shared" si="45"/>
        <v>9.0917868954261169E-2</v>
      </c>
      <c r="P209" s="15">
        <f t="shared" si="39"/>
        <v>2.9060467257432877E-2</v>
      </c>
    </row>
    <row r="210" spans="1:16" x14ac:dyDescent="0.3">
      <c r="A210">
        <v>208</v>
      </c>
      <c r="B210" s="3">
        <v>45012</v>
      </c>
      <c r="C210">
        <v>75.239999999999995</v>
      </c>
      <c r="D210">
        <v>78.430000000000007</v>
      </c>
      <c r="E210">
        <v>74.8</v>
      </c>
      <c r="F210">
        <v>78.12</v>
      </c>
      <c r="G210" s="5">
        <f t="shared" si="40"/>
        <v>1.7758881015775819E-2</v>
      </c>
      <c r="H210" s="5">
        <f t="shared" ca="1" si="41"/>
        <v>-41.154618080138277</v>
      </c>
      <c r="I210">
        <f t="shared" ca="1" si="36"/>
        <v>80.024353451359005</v>
      </c>
      <c r="J210">
        <f t="shared" ca="1" si="42"/>
        <v>1.0297501051582635E-2</v>
      </c>
      <c r="K210" s="12">
        <f t="shared" si="37"/>
        <v>111.00904032954391</v>
      </c>
      <c r="L210" s="12">
        <f t="shared" si="38"/>
        <v>0.13176472045886292</v>
      </c>
      <c r="M210" s="12">
        <f t="shared" si="43"/>
        <v>82.339973001383072</v>
      </c>
      <c r="N210" s="12">
        <f t="shared" si="44"/>
        <v>139.67810765770474</v>
      </c>
      <c r="O210" s="14">
        <f t="shared" si="45"/>
        <v>8.0620857072145877E-2</v>
      </c>
      <c r="P210" s="15">
        <f t="shared" si="39"/>
        <v>2.3285573882319648E-2</v>
      </c>
    </row>
    <row r="211" spans="1:16" x14ac:dyDescent="0.3">
      <c r="A211">
        <v>209</v>
      </c>
      <c r="B211" s="3">
        <v>45013</v>
      </c>
      <c r="C211">
        <v>78.180000000000007</v>
      </c>
      <c r="D211">
        <v>79.209999999999994</v>
      </c>
      <c r="E211">
        <v>77.55</v>
      </c>
      <c r="F211">
        <v>78.650000000000006</v>
      </c>
      <c r="G211" s="5">
        <f t="shared" si="40"/>
        <v>2.9364923434888821E-3</v>
      </c>
      <c r="H211" s="5">
        <f t="shared" ca="1" si="41"/>
        <v>-39.575007951192632</v>
      </c>
      <c r="I211">
        <f t="shared" ca="1" si="36"/>
        <v>81.179217108084245</v>
      </c>
      <c r="J211">
        <f t="shared" ca="1" si="42"/>
        <v>1.4328260972779817E-2</v>
      </c>
      <c r="K211" s="12">
        <f t="shared" si="37"/>
        <v>110.979313399281</v>
      </c>
      <c r="L211" s="12">
        <f t="shared" si="38"/>
        <v>0.13208382325205845</v>
      </c>
      <c r="M211" s="12">
        <f t="shared" si="43"/>
        <v>82.248512248576745</v>
      </c>
      <c r="N211" s="12">
        <f t="shared" si="44"/>
        <v>139.71011454998524</v>
      </c>
      <c r="O211" s="14">
        <f t="shared" si="45"/>
        <v>7.8885586897966167E-2</v>
      </c>
      <c r="P211" s="15">
        <f t="shared" si="39"/>
        <v>2.2363200566182354E-2</v>
      </c>
    </row>
    <row r="212" spans="1:16" x14ac:dyDescent="0.3">
      <c r="A212">
        <v>210</v>
      </c>
      <c r="B212" s="3">
        <v>45014</v>
      </c>
      <c r="C212">
        <v>79.02</v>
      </c>
      <c r="D212">
        <v>79.7</v>
      </c>
      <c r="E212">
        <v>77.95</v>
      </c>
      <c r="F212">
        <v>78.28</v>
      </c>
      <c r="G212" s="5">
        <f t="shared" si="40"/>
        <v>-2.0479099733421405E-3</v>
      </c>
      <c r="H212" s="5">
        <f t="shared" ca="1" si="41"/>
        <v>-40.733859262268872</v>
      </c>
      <c r="I212">
        <f t="shared" ca="1" si="36"/>
        <v>80.32459595875271</v>
      </c>
      <c r="J212">
        <f t="shared" ca="1" si="42"/>
        <v>-1.0583392554464001E-2</v>
      </c>
      <c r="K212" s="12">
        <f t="shared" si="37"/>
        <v>110.94959442954438</v>
      </c>
      <c r="L212" s="12">
        <f t="shared" si="38"/>
        <v>0.13240218328996978</v>
      </c>
      <c r="M212" s="12">
        <f t="shared" si="43"/>
        <v>82.157256095832025</v>
      </c>
      <c r="N212" s="12">
        <f t="shared" si="44"/>
        <v>139.74193276325673</v>
      </c>
      <c r="O212" s="14">
        <f t="shared" si="45"/>
        <v>7.9990936388807818E-2</v>
      </c>
      <c r="P212" s="15">
        <f t="shared" si="39"/>
        <v>2.294464594928125E-2</v>
      </c>
    </row>
    <row r="213" spans="1:16" x14ac:dyDescent="0.3">
      <c r="A213">
        <v>211</v>
      </c>
      <c r="B213" s="3">
        <v>45015</v>
      </c>
      <c r="C213">
        <v>78.22</v>
      </c>
      <c r="D213">
        <v>79.55</v>
      </c>
      <c r="E213">
        <v>77.849999999999994</v>
      </c>
      <c r="F213">
        <v>79.27</v>
      </c>
      <c r="G213" s="5">
        <f t="shared" si="40"/>
        <v>5.458041207435811E-3</v>
      </c>
      <c r="H213" s="5">
        <f t="shared" ca="1" si="41"/>
        <v>-39.803011717678508</v>
      </c>
      <c r="I213">
        <f t="shared" ca="1" si="36"/>
        <v>81.004310839328909</v>
      </c>
      <c r="J213">
        <f t="shared" ca="1" si="42"/>
        <v>8.4264985865368219E-3</v>
      </c>
      <c r="K213" s="12">
        <f t="shared" si="37"/>
        <v>110.91988341820229</v>
      </c>
      <c r="L213" s="12">
        <f t="shared" si="38"/>
        <v>0.13271980591979704</v>
      </c>
      <c r="M213" s="12">
        <f t="shared" si="43"/>
        <v>82.066203234378051</v>
      </c>
      <c r="N213" s="12">
        <f t="shared" si="44"/>
        <v>139.77356360202651</v>
      </c>
      <c r="O213" s="14">
        <f t="shared" si="45"/>
        <v>7.6825794171893697E-2</v>
      </c>
      <c r="P213" s="15">
        <f t="shared" si="39"/>
        <v>2.1286969395927627E-2</v>
      </c>
    </row>
    <row r="214" spans="1:16" x14ac:dyDescent="0.3">
      <c r="A214">
        <v>212</v>
      </c>
      <c r="B214" s="3">
        <v>45016</v>
      </c>
      <c r="C214">
        <v>79.28</v>
      </c>
      <c r="D214">
        <v>79.77</v>
      </c>
      <c r="E214">
        <v>79.069999999999993</v>
      </c>
      <c r="F214">
        <v>79.77</v>
      </c>
      <c r="G214" s="5">
        <f t="shared" si="40"/>
        <v>2.7307338578300734E-3</v>
      </c>
      <c r="H214" s="5">
        <f t="shared" ca="1" si="41"/>
        <v>-40.441628078903648</v>
      </c>
      <c r="I214">
        <f t="shared" ca="1" si="36"/>
        <v>80.531751364437966</v>
      </c>
      <c r="J214">
        <f t="shared" ca="1" si="42"/>
        <v>-5.8508399488115407E-3</v>
      </c>
      <c r="K214" s="12">
        <f t="shared" si="37"/>
        <v>110.89018036312359</v>
      </c>
      <c r="L214" s="12">
        <f t="shared" si="38"/>
        <v>0.13303669642535004</v>
      </c>
      <c r="M214" s="12">
        <f t="shared" si="43"/>
        <v>81.975352370542069</v>
      </c>
      <c r="N214" s="12">
        <f t="shared" si="44"/>
        <v>139.8050083557051</v>
      </c>
      <c r="O214" s="14">
        <f t="shared" si="45"/>
        <v>7.5218487617217847E-2</v>
      </c>
      <c r="P214" s="15">
        <f t="shared" si="39"/>
        <v>2.0464303234142157E-2</v>
      </c>
    </row>
    <row r="215" spans="1:16" x14ac:dyDescent="0.3">
      <c r="A215">
        <v>213</v>
      </c>
      <c r="B215" s="3">
        <v>45019</v>
      </c>
      <c r="C215">
        <v>83.29</v>
      </c>
      <c r="D215">
        <v>86.24</v>
      </c>
      <c r="E215">
        <v>83.29</v>
      </c>
      <c r="F215">
        <v>84.93</v>
      </c>
      <c r="G215" s="5">
        <f t="shared" si="40"/>
        <v>2.7221532033536007E-2</v>
      </c>
      <c r="H215" s="5">
        <f t="shared" ca="1" si="41"/>
        <v>-39.201554728864849</v>
      </c>
      <c r="I215">
        <f t="shared" ca="1" si="36"/>
        <v>81.441994635095469</v>
      </c>
      <c r="J215">
        <f t="shared" ca="1" si="42"/>
        <v>1.1239511037408679E-2</v>
      </c>
      <c r="K215" s="12">
        <f t="shared" si="37"/>
        <v>110.86048526217766</v>
      </c>
      <c r="L215" s="12">
        <f t="shared" si="38"/>
        <v>0.13335286002810101</v>
      </c>
      <c r="M215" s="12">
        <f t="shared" si="43"/>
        <v>81.884702225501172</v>
      </c>
      <c r="N215" s="12">
        <f t="shared" si="44"/>
        <v>139.83626829885415</v>
      </c>
      <c r="O215" s="14">
        <f t="shared" si="45"/>
        <v>5.9985476737492514E-2</v>
      </c>
      <c r="P215" s="15">
        <f t="shared" si="39"/>
        <v>1.3390111928934349E-2</v>
      </c>
    </row>
    <row r="216" spans="1:16" x14ac:dyDescent="0.3">
      <c r="A216">
        <v>214</v>
      </c>
      <c r="B216" s="3">
        <v>45020</v>
      </c>
      <c r="C216">
        <v>84.78</v>
      </c>
      <c r="D216">
        <v>86.05</v>
      </c>
      <c r="E216">
        <v>83.87</v>
      </c>
      <c r="F216">
        <v>84.94</v>
      </c>
      <c r="G216" s="5">
        <f t="shared" si="40"/>
        <v>5.1132569895141153E-5</v>
      </c>
      <c r="H216" s="5">
        <f t="shared" ca="1" si="41"/>
        <v>-40.280454798524488</v>
      </c>
      <c r="I216">
        <f t="shared" ca="1" si="36"/>
        <v>80.643238595501899</v>
      </c>
      <c r="J216">
        <f t="shared" ca="1" si="42"/>
        <v>-9.8560799123593862E-3</v>
      </c>
      <c r="K216" s="12">
        <f t="shared" si="37"/>
        <v>110.83079811323449</v>
      </c>
      <c r="L216" s="12">
        <f t="shared" si="38"/>
        <v>0.13366830188820353</v>
      </c>
      <c r="M216" s="12">
        <f t="shared" si="43"/>
        <v>81.794251535042179</v>
      </c>
      <c r="N216" s="12">
        <f t="shared" si="44"/>
        <v>139.86734469142681</v>
      </c>
      <c r="O216" s="14">
        <f t="shared" si="45"/>
        <v>5.9897086666875841E-2</v>
      </c>
      <c r="P216" s="15">
        <f t="shared" si="39"/>
        <v>1.3351387453859819E-2</v>
      </c>
    </row>
    <row r="217" spans="1:16" x14ac:dyDescent="0.3">
      <c r="A217">
        <v>215</v>
      </c>
      <c r="B217" s="3">
        <v>45021</v>
      </c>
      <c r="C217">
        <v>85.1</v>
      </c>
      <c r="D217">
        <v>85.55</v>
      </c>
      <c r="E217">
        <v>84.01</v>
      </c>
      <c r="F217">
        <v>84.99</v>
      </c>
      <c r="G217" s="5">
        <f t="shared" si="40"/>
        <v>2.5557258543896393E-4</v>
      </c>
      <c r="H217" s="5">
        <f t="shared" ca="1" si="41"/>
        <v>-39.855467435514562</v>
      </c>
      <c r="I217">
        <f t="shared" ca="1" si="36"/>
        <v>80.952266397938359</v>
      </c>
      <c r="J217">
        <f t="shared" ca="1" si="42"/>
        <v>3.8247125644340946E-3</v>
      </c>
      <c r="K217" s="12">
        <f t="shared" si="37"/>
        <v>110.80111891416465</v>
      </c>
      <c r="L217" s="12">
        <f t="shared" si="38"/>
        <v>0.13398302710549656</v>
      </c>
      <c r="M217" s="12">
        <f t="shared" si="43"/>
        <v>81.70399904932475</v>
      </c>
      <c r="N217" s="12">
        <f t="shared" si="44"/>
        <v>139.89823877900454</v>
      </c>
      <c r="O217" s="14">
        <f t="shared" si="45"/>
        <v>5.9696401644566063E-2</v>
      </c>
      <c r="P217" s="15">
        <f t="shared" si="39"/>
        <v>1.3265583964150106E-2</v>
      </c>
    </row>
    <row r="218" spans="1:16" x14ac:dyDescent="0.3">
      <c r="A218">
        <v>216</v>
      </c>
      <c r="B218" s="3">
        <v>45022</v>
      </c>
      <c r="C218">
        <v>84.83</v>
      </c>
      <c r="D218">
        <v>85.44</v>
      </c>
      <c r="E218">
        <v>84.05</v>
      </c>
      <c r="F218">
        <v>85.12</v>
      </c>
      <c r="G218" s="5">
        <f t="shared" si="40"/>
        <v>6.6378571087337597E-4</v>
      </c>
      <c r="H218" s="5">
        <f t="shared" ca="1" si="41"/>
        <v>-40.972704331515743</v>
      </c>
      <c r="I218">
        <f t="shared" ca="1" si="36"/>
        <v>80.130363249876936</v>
      </c>
      <c r="J218">
        <f t="shared" ca="1" si="42"/>
        <v>-1.0204828198969142E-2</v>
      </c>
      <c r="K218" s="12">
        <f t="shared" si="37"/>
        <v>110.77144766283921</v>
      </c>
      <c r="L218" s="12">
        <f t="shared" si="38"/>
        <v>0.13429704072048856</v>
      </c>
      <c r="M218" s="12">
        <f t="shared" si="43"/>
        <v>81.613943532649387</v>
      </c>
      <c r="N218" s="12">
        <f t="shared" si="44"/>
        <v>139.92895179302903</v>
      </c>
      <c r="O218" s="14">
        <f t="shared" si="45"/>
        <v>5.927168014775664E-2</v>
      </c>
      <c r="P218" s="15">
        <f t="shared" si="39"/>
        <v>1.3086494362426152E-2</v>
      </c>
    </row>
    <row r="219" spans="1:16" x14ac:dyDescent="0.3">
      <c r="A219">
        <v>217</v>
      </c>
      <c r="B219" s="3">
        <v>45026</v>
      </c>
      <c r="C219">
        <v>84.95</v>
      </c>
      <c r="D219">
        <v>85.64</v>
      </c>
      <c r="E219">
        <v>84.08</v>
      </c>
      <c r="F219">
        <v>84.18</v>
      </c>
      <c r="G219" s="5">
        <f t="shared" si="40"/>
        <v>-4.8226935389693963E-3</v>
      </c>
      <c r="H219" s="5">
        <f t="shared" ca="1" si="41"/>
        <v>-42.263337863640423</v>
      </c>
      <c r="I219">
        <f t="shared" ca="1" si="36"/>
        <v>79.191790637614602</v>
      </c>
      <c r="J219">
        <f t="shared" ca="1" si="42"/>
        <v>-1.1782209154117351E-2</v>
      </c>
      <c r="K219" s="12">
        <f t="shared" si="37"/>
        <v>110.74178435712989</v>
      </c>
      <c r="L219" s="12">
        <f t="shared" si="38"/>
        <v>0.13461034771531252</v>
      </c>
      <c r="M219" s="12">
        <f t="shared" si="43"/>
        <v>81.524083763232156</v>
      </c>
      <c r="N219" s="12">
        <f t="shared" si="44"/>
        <v>139.9594849510276</v>
      </c>
      <c r="O219" s="14">
        <f t="shared" si="45"/>
        <v>6.1864763965945237E-2</v>
      </c>
      <c r="P219" s="15">
        <f t="shared" si="39"/>
        <v>1.4185428256810297E-2</v>
      </c>
    </row>
    <row r="220" spans="1:16" x14ac:dyDescent="0.3">
      <c r="A220">
        <v>218</v>
      </c>
      <c r="B220" s="3">
        <v>45027</v>
      </c>
      <c r="C220">
        <v>84.28</v>
      </c>
      <c r="D220">
        <v>85.68</v>
      </c>
      <c r="E220">
        <v>83.75</v>
      </c>
      <c r="F220">
        <v>85.61</v>
      </c>
      <c r="G220" s="5">
        <f t="shared" si="40"/>
        <v>7.3155756385386971E-3</v>
      </c>
      <c r="H220" s="5">
        <f t="shared" ca="1" si="41"/>
        <v>-41.906619231287685</v>
      </c>
      <c r="I220">
        <f t="shared" ca="1" si="36"/>
        <v>79.445902238907124</v>
      </c>
      <c r="J220">
        <f t="shared" ca="1" si="42"/>
        <v>3.2036751672950437E-3</v>
      </c>
      <c r="K220" s="12">
        <f t="shared" si="37"/>
        <v>110.71212899490891</v>
      </c>
      <c r="L220" s="12">
        <f t="shared" si="38"/>
        <v>0.13492295301467305</v>
      </c>
      <c r="M220" s="12">
        <f t="shared" si="43"/>
        <v>81.43441853298124</v>
      </c>
      <c r="N220" s="12">
        <f t="shared" si="44"/>
        <v>139.98983945683656</v>
      </c>
      <c r="O220" s="14">
        <f t="shared" si="45"/>
        <v>5.7784884721029398E-2</v>
      </c>
      <c r="P220" s="15">
        <f t="shared" si="39"/>
        <v>1.2470346418320209E-2</v>
      </c>
    </row>
    <row r="221" spans="1:16" x14ac:dyDescent="0.3">
      <c r="A221">
        <v>219</v>
      </c>
      <c r="B221" s="3">
        <v>45028</v>
      </c>
      <c r="C221">
        <v>85.55</v>
      </c>
      <c r="D221">
        <v>87.49</v>
      </c>
      <c r="E221">
        <v>85.41</v>
      </c>
      <c r="F221">
        <v>87.33</v>
      </c>
      <c r="G221" s="5">
        <f t="shared" si="40"/>
        <v>8.6389631079309224E-3</v>
      </c>
      <c r="H221" s="5">
        <f t="shared" ca="1" si="41"/>
        <v>-41.844983883159003</v>
      </c>
      <c r="I221">
        <f t="shared" ca="1" si="36"/>
        <v>79.48717052625986</v>
      </c>
      <c r="J221">
        <f t="shared" ca="1" si="42"/>
        <v>5.1931655963375234E-4</v>
      </c>
      <c r="K221" s="12">
        <f t="shared" si="37"/>
        <v>110.68248157404913</v>
      </c>
      <c r="L221" s="12">
        <f t="shared" si="38"/>
        <v>0.13523486148676625</v>
      </c>
      <c r="M221" s="12">
        <f t="shared" si="43"/>
        <v>81.344946647280082</v>
      </c>
      <c r="N221" s="12">
        <f t="shared" si="44"/>
        <v>140.0200165008182</v>
      </c>
      <c r="O221" s="14">
        <f t="shared" si="45"/>
        <v>5.3017393794946979E-2</v>
      </c>
      <c r="P221" s="15">
        <f t="shared" si="39"/>
        <v>1.0591585235535174E-2</v>
      </c>
    </row>
    <row r="222" spans="1:16" x14ac:dyDescent="0.3">
      <c r="A222">
        <v>220</v>
      </c>
      <c r="B222" s="3">
        <v>45029</v>
      </c>
      <c r="C222">
        <v>87.15</v>
      </c>
      <c r="D222">
        <v>87.47</v>
      </c>
      <c r="E222">
        <v>86.06</v>
      </c>
      <c r="F222">
        <v>86.09</v>
      </c>
      <c r="G222" s="5">
        <f t="shared" si="40"/>
        <v>-6.2107523406151211E-3</v>
      </c>
      <c r="H222" s="5">
        <f t="shared" ca="1" si="41"/>
        <v>-42.09897930971178</v>
      </c>
      <c r="I222">
        <f t="shared" ca="1" si="36"/>
        <v>79.300439432396843</v>
      </c>
      <c r="J222">
        <f t="shared" ca="1" si="42"/>
        <v>-2.3519615918440521E-3</v>
      </c>
      <c r="K222" s="12">
        <f t="shared" si="37"/>
        <v>110.65284209242395</v>
      </c>
      <c r="L222" s="12">
        <f t="shared" si="38"/>
        <v>0.13554607794418017</v>
      </c>
      <c r="M222" s="12">
        <f t="shared" si="43"/>
        <v>81.25566692477463</v>
      </c>
      <c r="N222" s="12">
        <f t="shared" si="44"/>
        <v>140.05001726007328</v>
      </c>
      <c r="O222" s="14">
        <f t="shared" si="45"/>
        <v>5.6337224626031565E-2</v>
      </c>
      <c r="P222" s="15">
        <f t="shared" si="39"/>
        <v>1.1883150741680984E-2</v>
      </c>
    </row>
    <row r="223" spans="1:16" x14ac:dyDescent="0.3">
      <c r="A223">
        <v>221</v>
      </c>
      <c r="B223" s="3">
        <v>45030</v>
      </c>
      <c r="C223">
        <v>86.34</v>
      </c>
      <c r="D223">
        <v>86.86</v>
      </c>
      <c r="E223">
        <v>85.54</v>
      </c>
      <c r="F223">
        <v>86.31</v>
      </c>
      <c r="G223" s="5">
        <f t="shared" si="40"/>
        <v>1.1084087921304194E-3</v>
      </c>
      <c r="H223" s="5">
        <f t="shared" ca="1" si="41"/>
        <v>-42.159134108856172</v>
      </c>
      <c r="I223">
        <f t="shared" ca="1" si="36"/>
        <v>79.25377672022978</v>
      </c>
      <c r="J223">
        <f t="shared" ca="1" si="42"/>
        <v>-5.8860261993091338E-4</v>
      </c>
      <c r="K223" s="12">
        <f t="shared" si="37"/>
        <v>110.62321054790732</v>
      </c>
      <c r="L223" s="12">
        <f t="shared" si="38"/>
        <v>0.13585660714478151</v>
      </c>
      <c r="M223" s="12">
        <f t="shared" si="43"/>
        <v>81.166578197164384</v>
      </c>
      <c r="N223" s="12">
        <f t="shared" si="44"/>
        <v>140.07984289865027</v>
      </c>
      <c r="O223" s="14">
        <f t="shared" si="45"/>
        <v>5.5672386081781398E-2</v>
      </c>
      <c r="P223" s="15">
        <f t="shared" si="39"/>
        <v>1.1617636827733157E-2</v>
      </c>
    </row>
    <row r="224" spans="1:16" x14ac:dyDescent="0.3">
      <c r="A224">
        <v>222</v>
      </c>
      <c r="B224" s="3">
        <v>45033</v>
      </c>
      <c r="C224">
        <v>86.27</v>
      </c>
      <c r="D224">
        <v>86.51</v>
      </c>
      <c r="E224">
        <v>84.35</v>
      </c>
      <c r="F224">
        <v>84.76</v>
      </c>
      <c r="G224" s="5">
        <f t="shared" si="40"/>
        <v>-7.8701685712314808E-3</v>
      </c>
      <c r="H224" s="5">
        <f t="shared" ca="1" si="41"/>
        <v>-41.997194414457844</v>
      </c>
      <c r="I224">
        <f t="shared" ca="1" si="36"/>
        <v>79.367332000373366</v>
      </c>
      <c r="J224">
        <f t="shared" ca="1" si="42"/>
        <v>1.4317804289538569E-3</v>
      </c>
      <c r="K224" s="12">
        <f t="shared" si="37"/>
        <v>110.59358693837378</v>
      </c>
      <c r="L224" s="12">
        <f t="shared" si="38"/>
        <v>0.13616645379258202</v>
      </c>
      <c r="M224" s="12">
        <f t="shared" si="43"/>
        <v>81.07767930899783</v>
      </c>
      <c r="N224" s="12">
        <f t="shared" si="44"/>
        <v>140.10949456774972</v>
      </c>
      <c r="O224" s="14">
        <f t="shared" si="45"/>
        <v>5.9920930581834307E-2</v>
      </c>
      <c r="P224" s="15">
        <f t="shared" si="39"/>
        <v>1.3349259584198627E-2</v>
      </c>
    </row>
    <row r="225" spans="1:16" x14ac:dyDescent="0.3">
      <c r="A225">
        <v>223</v>
      </c>
      <c r="B225" s="3">
        <v>45034</v>
      </c>
      <c r="C225">
        <v>84.82</v>
      </c>
      <c r="D225">
        <v>85.4</v>
      </c>
      <c r="E225">
        <v>83.82</v>
      </c>
      <c r="F225">
        <v>84.77</v>
      </c>
      <c r="G225" s="5">
        <f t="shared" si="40"/>
        <v>5.1235118552097291E-5</v>
      </c>
      <c r="H225" s="5">
        <f t="shared" ca="1" si="41"/>
        <v>-43.383406980269086</v>
      </c>
      <c r="I225">
        <f t="shared" ca="1" si="36"/>
        <v>78.369526621733044</v>
      </c>
      <c r="J225">
        <f t="shared" ca="1" si="42"/>
        <v>-1.2651687079521072E-2</v>
      </c>
      <c r="K225" s="12">
        <f t="shared" si="37"/>
        <v>110.56397126169841</v>
      </c>
      <c r="L225" s="12">
        <f t="shared" si="38"/>
        <v>0.13647562253858475</v>
      </c>
      <c r="M225" s="12">
        <f t="shared" si="43"/>
        <v>80.988969117472578</v>
      </c>
      <c r="N225" s="12">
        <f t="shared" si="44"/>
        <v>140.13897340592422</v>
      </c>
      <c r="O225" s="14">
        <f t="shared" si="45"/>
        <v>5.9832445969714113E-2</v>
      </c>
      <c r="P225" s="15">
        <f t="shared" si="39"/>
        <v>1.3310570607574575E-2</v>
      </c>
    </row>
    <row r="226" spans="1:16" x14ac:dyDescent="0.3">
      <c r="A226">
        <v>224</v>
      </c>
      <c r="B226" s="3">
        <v>45035</v>
      </c>
      <c r="C226">
        <v>84.86</v>
      </c>
      <c r="D226">
        <v>85.15</v>
      </c>
      <c r="E226">
        <v>82.41</v>
      </c>
      <c r="F226">
        <v>83.12</v>
      </c>
      <c r="G226" s="5">
        <f t="shared" si="40"/>
        <v>-8.5366486081880268E-3</v>
      </c>
      <c r="H226" s="5">
        <f t="shared" ca="1" si="41"/>
        <v>-43.552910288336768</v>
      </c>
      <c r="I226">
        <f t="shared" ca="1" si="36"/>
        <v>78.245539135339072</v>
      </c>
      <c r="J226">
        <f t="shared" ca="1" si="42"/>
        <v>-1.5833408069312201E-3</v>
      </c>
      <c r="K226" s="12">
        <f t="shared" si="37"/>
        <v>110.53436351575691</v>
      </c>
      <c r="L226" s="12">
        <f t="shared" si="38"/>
        <v>0.13678411798162066</v>
      </c>
      <c r="M226" s="12">
        <f t="shared" si="43"/>
        <v>80.900446492238146</v>
      </c>
      <c r="N226" s="12">
        <f t="shared" si="44"/>
        <v>140.16828053927568</v>
      </c>
      <c r="O226" s="14">
        <f t="shared" si="45"/>
        <v>6.4484775416574561E-2</v>
      </c>
      <c r="P226" s="15">
        <f t="shared" si="39"/>
        <v>1.5324404860275673E-2</v>
      </c>
    </row>
    <row r="227" spans="1:16" x14ac:dyDescent="0.3">
      <c r="A227">
        <v>225</v>
      </c>
      <c r="B227" s="3">
        <v>45036</v>
      </c>
      <c r="C227">
        <v>83</v>
      </c>
      <c r="D227">
        <v>83.04</v>
      </c>
      <c r="E227">
        <v>80.77</v>
      </c>
      <c r="F227">
        <v>81.099999999999994</v>
      </c>
      <c r="G227" s="5">
        <f t="shared" si="40"/>
        <v>-1.0684680337965014E-2</v>
      </c>
      <c r="H227" s="5">
        <f t="shared" ca="1" si="41"/>
        <v>-43.10427833660291</v>
      </c>
      <c r="I227">
        <f t="shared" ca="1" si="36"/>
        <v>78.562275300072429</v>
      </c>
      <c r="J227">
        <f t="shared" ca="1" si="42"/>
        <v>4.0398062639384604E-3</v>
      </c>
      <c r="K227" s="12">
        <f t="shared" si="37"/>
        <v>110.50476369842552</v>
      </c>
      <c r="L227" s="12">
        <f t="shared" si="38"/>
        <v>0.13709194466915706</v>
      </c>
      <c r="M227" s="12">
        <f t="shared" si="43"/>
        <v>80.812110315204791</v>
      </c>
      <c r="N227" s="12">
        <f t="shared" si="44"/>
        <v>140.19741708164625</v>
      </c>
      <c r="O227" s="14">
        <f t="shared" si="45"/>
        <v>7.0381706787443543E-2</v>
      </c>
      <c r="P227" s="15">
        <f t="shared" si="39"/>
        <v>1.8052648836420937E-2</v>
      </c>
    </row>
    <row r="228" spans="1:16" x14ac:dyDescent="0.3">
      <c r="A228">
        <v>226</v>
      </c>
      <c r="B228" s="3">
        <v>45037</v>
      </c>
      <c r="C228">
        <v>80.83</v>
      </c>
      <c r="D228">
        <v>82.04</v>
      </c>
      <c r="E228">
        <v>80.45</v>
      </c>
      <c r="F228">
        <v>81.66</v>
      </c>
      <c r="G228" s="5">
        <f t="shared" si="40"/>
        <v>2.9885213758223325E-3</v>
      </c>
      <c r="H228" s="5">
        <f t="shared" ca="1" si="41"/>
        <v>-43.417484419920406</v>
      </c>
      <c r="I228">
        <f t="shared" ca="1" si="36"/>
        <v>78.335511234461222</v>
      </c>
      <c r="J228">
        <f t="shared" ca="1" si="42"/>
        <v>-2.8905981214245439E-3</v>
      </c>
      <c r="K228" s="12">
        <f t="shared" si="37"/>
        <v>110.47517180758103</v>
      </c>
      <c r="L228" s="12">
        <f t="shared" si="38"/>
        <v>0.13739910709810199</v>
      </c>
      <c r="M228" s="12">
        <f t="shared" si="43"/>
        <v>80.723959480353784</v>
      </c>
      <c r="N228" s="12">
        <f t="shared" si="44"/>
        <v>140.22638413480828</v>
      </c>
      <c r="O228" s="14">
        <f t="shared" si="45"/>
        <v>6.8647838093875133E-2</v>
      </c>
      <c r="P228" s="15">
        <f t="shared" si="39"/>
        <v>1.7227956416128992E-2</v>
      </c>
    </row>
    <row r="229" spans="1:16" x14ac:dyDescent="0.3">
      <c r="A229">
        <v>227</v>
      </c>
      <c r="B229" s="3">
        <v>45040</v>
      </c>
      <c r="C229">
        <v>81.599999999999994</v>
      </c>
      <c r="D229">
        <v>82.99</v>
      </c>
      <c r="E229">
        <v>80.489999999999995</v>
      </c>
      <c r="F229">
        <v>82.73</v>
      </c>
      <c r="G229" s="5">
        <f t="shared" si="40"/>
        <v>5.6536487403966388E-3</v>
      </c>
      <c r="H229" s="5">
        <f t="shared" ca="1" si="41"/>
        <v>-41.275953781712218</v>
      </c>
      <c r="I229">
        <f t="shared" ca="1" si="36"/>
        <v>79.873253992762926</v>
      </c>
      <c r="J229">
        <f t="shared" ca="1" si="42"/>
        <v>1.944002513057241E-2</v>
      </c>
      <c r="K229" s="12">
        <f t="shared" si="37"/>
        <v>110.44558784110086</v>
      </c>
      <c r="L229" s="12">
        <f t="shared" si="38"/>
        <v>0.13770560971558379</v>
      </c>
      <c r="M229" s="12">
        <f t="shared" si="43"/>
        <v>80.635992893553336</v>
      </c>
      <c r="N229" s="12">
        <f t="shared" si="44"/>
        <v>140.2551827886484</v>
      </c>
      <c r="O229" s="14">
        <f t="shared" si="45"/>
        <v>6.5436599199052536E-2</v>
      </c>
      <c r="P229" s="15">
        <f t="shared" si="39"/>
        <v>1.574657224187866E-2</v>
      </c>
    </row>
    <row r="230" spans="1:16" x14ac:dyDescent="0.3">
      <c r="A230">
        <v>228</v>
      </c>
      <c r="B230" s="3">
        <v>45041</v>
      </c>
      <c r="C230">
        <v>82.58</v>
      </c>
      <c r="D230">
        <v>83.05</v>
      </c>
      <c r="E230">
        <v>80.349999999999994</v>
      </c>
      <c r="F230">
        <v>80.77</v>
      </c>
      <c r="G230" s="5">
        <f t="shared" si="40"/>
        <v>-1.0412941446046568E-2</v>
      </c>
      <c r="H230" s="5">
        <f t="shared" ca="1" si="41"/>
        <v>-43.129605678001184</v>
      </c>
      <c r="I230">
        <f t="shared" ca="1" si="36"/>
        <v>78.534427283440706</v>
      </c>
      <c r="J230">
        <f t="shared" ca="1" si="42"/>
        <v>-1.6903960445756462E-2</v>
      </c>
      <c r="K230" s="12">
        <f t="shared" si="37"/>
        <v>110.41601179686292</v>
      </c>
      <c r="L230" s="12">
        <f t="shared" si="38"/>
        <v>0.13801145691971989</v>
      </c>
      <c r="M230" s="12">
        <f t="shared" si="43"/>
        <v>80.548209472376868</v>
      </c>
      <c r="N230" s="12">
        <f t="shared" si="44"/>
        <v>140.28381412134897</v>
      </c>
      <c r="O230" s="14">
        <f t="shared" si="45"/>
        <v>7.119253777960502E-2</v>
      </c>
      <c r="P230" s="15">
        <f t="shared" si="39"/>
        <v>1.8436744349465507E-2</v>
      </c>
    </row>
    <row r="231" spans="1:16" x14ac:dyDescent="0.3">
      <c r="A231">
        <v>229</v>
      </c>
      <c r="B231" s="3">
        <v>45042</v>
      </c>
      <c r="C231">
        <v>81</v>
      </c>
      <c r="D231">
        <v>81.47</v>
      </c>
      <c r="E231">
        <v>77.48</v>
      </c>
      <c r="F231">
        <v>77.69</v>
      </c>
      <c r="G231" s="5">
        <f t="shared" si="40"/>
        <v>-1.688496143320424E-2</v>
      </c>
      <c r="H231" s="5">
        <f t="shared" ca="1" si="41"/>
        <v>-44.33320475654731</v>
      </c>
      <c r="I231">
        <f t="shared" ca="1" si="36"/>
        <v>77.676023500752308</v>
      </c>
      <c r="J231">
        <f t="shared" ca="1" si="42"/>
        <v>-1.0990460867727536E-2</v>
      </c>
      <c r="K231" s="12">
        <f t="shared" si="37"/>
        <v>110.38644367274573</v>
      </c>
      <c r="L231" s="12">
        <f t="shared" si="38"/>
        <v>0.13831665306036828</v>
      </c>
      <c r="M231" s="12">
        <f t="shared" si="43"/>
        <v>80.460608145925661</v>
      </c>
      <c r="N231" s="12">
        <f t="shared" si="44"/>
        <v>140.31227919956578</v>
      </c>
      <c r="O231" s="14">
        <f t="shared" si="45"/>
        <v>8.0699024064678951E-2</v>
      </c>
      <c r="P231" s="15">
        <f t="shared" si="39"/>
        <v>2.3271691792593044E-2</v>
      </c>
    </row>
    <row r="232" spans="1:16" x14ac:dyDescent="0.3">
      <c r="A232">
        <v>230</v>
      </c>
      <c r="B232" s="3">
        <v>45043</v>
      </c>
      <c r="C232">
        <v>77.87</v>
      </c>
      <c r="D232">
        <v>78.63</v>
      </c>
      <c r="E232">
        <v>77.39</v>
      </c>
      <c r="F232">
        <v>78.37</v>
      </c>
      <c r="G232" s="5">
        <f t="shared" si="40"/>
        <v>3.7847253197979616E-3</v>
      </c>
      <c r="H232" s="5">
        <f t="shared" ca="1" si="41"/>
        <v>-42.893232607662235</v>
      </c>
      <c r="I232">
        <f t="shared" ca="1" si="36"/>
        <v>78.696966754519067</v>
      </c>
      <c r="J232">
        <f t="shared" ca="1" si="42"/>
        <v>1.3057980906873249E-2</v>
      </c>
      <c r="K232" s="12">
        <f t="shared" si="37"/>
        <v>110.35688346662839</v>
      </c>
      <c r="L232" s="12">
        <f t="shared" si="38"/>
        <v>0.13862120243986484</v>
      </c>
      <c r="M232" s="12">
        <f t="shared" si="43"/>
        <v>80.373187854654645</v>
      </c>
      <c r="N232" s="12">
        <f t="shared" si="44"/>
        <v>140.34057907860213</v>
      </c>
      <c r="O232" s="14">
        <f t="shared" si="45"/>
        <v>7.8478258081590327E-2</v>
      </c>
      <c r="P232" s="15">
        <f t="shared" si="39"/>
        <v>2.2096697788729677E-2</v>
      </c>
    </row>
    <row r="233" spans="1:16" x14ac:dyDescent="0.3">
      <c r="A233">
        <v>231</v>
      </c>
      <c r="B233" s="3">
        <v>45044</v>
      </c>
      <c r="C233">
        <v>78.31</v>
      </c>
      <c r="D233">
        <v>79.599999999999994</v>
      </c>
      <c r="E233">
        <v>77.97</v>
      </c>
      <c r="F233">
        <v>79.540000000000006</v>
      </c>
      <c r="G233" s="5">
        <f t="shared" si="40"/>
        <v>6.4357398820394721E-3</v>
      </c>
      <c r="H233" s="5">
        <f t="shared" ca="1" si="41"/>
        <v>-43.168461384141359</v>
      </c>
      <c r="I233">
        <f t="shared" ca="1" si="36"/>
        <v>78.4969281707574</v>
      </c>
      <c r="J233">
        <f t="shared" ca="1" si="42"/>
        <v>-2.5451203666427345E-3</v>
      </c>
      <c r="K233" s="12">
        <f t="shared" si="37"/>
        <v>110.32733117639053</v>
      </c>
      <c r="L233" s="12">
        <f t="shared" si="38"/>
        <v>0.13892510931374544</v>
      </c>
      <c r="M233" s="12">
        <f t="shared" si="43"/>
        <v>80.285947550201783</v>
      </c>
      <c r="N233" s="12">
        <f t="shared" si="44"/>
        <v>140.36871480257926</v>
      </c>
      <c r="O233" s="14">
        <f t="shared" si="45"/>
        <v>7.4765128731281341E-2</v>
      </c>
      <c r="P233" s="15">
        <f t="shared" si="39"/>
        <v>2.0191706909730003E-2</v>
      </c>
    </row>
    <row r="234" spans="1:16" x14ac:dyDescent="0.3">
      <c r="A234">
        <v>232</v>
      </c>
      <c r="B234" s="3">
        <v>45047</v>
      </c>
      <c r="C234">
        <v>80.180000000000007</v>
      </c>
      <c r="D234">
        <v>80.19</v>
      </c>
      <c r="E234">
        <v>78.13</v>
      </c>
      <c r="F234">
        <v>79.31</v>
      </c>
      <c r="G234" s="5">
        <f t="shared" si="40"/>
        <v>-1.2576367723074805E-3</v>
      </c>
      <c r="H234" s="5">
        <f t="shared" ca="1" si="41"/>
        <v>-42.173471480906059</v>
      </c>
      <c r="I234">
        <f t="shared" ca="1" si="36"/>
        <v>79.207381165635255</v>
      </c>
      <c r="J234">
        <f t="shared" ca="1" si="42"/>
        <v>9.0099985736574947E-3</v>
      </c>
      <c r="K234" s="12">
        <f t="shared" si="37"/>
        <v>110.29778679991239</v>
      </c>
      <c r="L234" s="12">
        <f t="shared" si="38"/>
        <v>0.13922837789145889</v>
      </c>
      <c r="M234" s="12">
        <f t="shared" si="43"/>
        <v>80.198886195219643</v>
      </c>
      <c r="N234" s="12">
        <f t="shared" si="44"/>
        <v>140.39668740460513</v>
      </c>
      <c r="O234" s="14">
        <f t="shared" si="45"/>
        <v>7.5415542768756852E-2</v>
      </c>
      <c r="P234" s="15">
        <f t="shared" si="39"/>
        <v>2.0517367643945329E-2</v>
      </c>
    </row>
    <row r="235" spans="1:16" x14ac:dyDescent="0.3">
      <c r="A235">
        <v>233</v>
      </c>
      <c r="B235" s="3">
        <v>45048</v>
      </c>
      <c r="C235">
        <v>79.260000000000005</v>
      </c>
      <c r="D235">
        <v>79.78</v>
      </c>
      <c r="E235">
        <v>75.09</v>
      </c>
      <c r="F235">
        <v>75.319999999999993</v>
      </c>
      <c r="G235" s="5">
        <f t="shared" si="40"/>
        <v>-2.2417638533026907E-2</v>
      </c>
      <c r="H235" s="5">
        <f t="shared" ca="1" si="41"/>
        <v>-41.941894564922116</v>
      </c>
      <c r="I235">
        <f t="shared" ca="1" si="36"/>
        <v>79.371134589074018</v>
      </c>
      <c r="J235">
        <f t="shared" ca="1" si="42"/>
        <v>2.0652669230076586E-3</v>
      </c>
      <c r="K235" s="12">
        <f t="shared" si="37"/>
        <v>110.26825033507475</v>
      </c>
      <c r="L235" s="12">
        <f t="shared" si="38"/>
        <v>0.13953101233705489</v>
      </c>
      <c r="M235" s="12">
        <f t="shared" si="43"/>
        <v>80.112002763212757</v>
      </c>
      <c r="N235" s="12">
        <f t="shared" si="44"/>
        <v>140.42449790693675</v>
      </c>
      <c r="O235" s="14">
        <f t="shared" si="45"/>
        <v>8.8198232585344399E-2</v>
      </c>
      <c r="P235" s="15">
        <f t="shared" si="39"/>
        <v>2.7403548605981518E-2</v>
      </c>
    </row>
    <row r="236" spans="1:16" x14ac:dyDescent="0.3">
      <c r="A236">
        <v>234</v>
      </c>
      <c r="B236" s="3">
        <v>45049</v>
      </c>
      <c r="C236">
        <v>75.27</v>
      </c>
      <c r="D236">
        <v>75.55</v>
      </c>
      <c r="E236">
        <v>71.680000000000007</v>
      </c>
      <c r="F236">
        <v>72.33</v>
      </c>
      <c r="G236" s="5">
        <f t="shared" si="40"/>
        <v>-1.7591846247511055E-2</v>
      </c>
      <c r="H236" s="5">
        <f t="shared" ca="1" si="41"/>
        <v>-43.101919722713134</v>
      </c>
      <c r="I236">
        <f t="shared" ca="1" si="36"/>
        <v>78.534709551361416</v>
      </c>
      <c r="J236">
        <f t="shared" ca="1" si="42"/>
        <v>-1.0594070982220894E-2</v>
      </c>
      <c r="K236" s="12">
        <f t="shared" si="37"/>
        <v>110.23872177975896</v>
      </c>
      <c r="L236" s="12">
        <f t="shared" si="38"/>
        <v>0.1398330167698737</v>
      </c>
      <c r="M236" s="12">
        <f t="shared" si="43"/>
        <v>80.02529623837475</v>
      </c>
      <c r="N236" s="12">
        <f t="shared" si="44"/>
        <v>140.45214732114317</v>
      </c>
      <c r="O236" s="14">
        <f t="shared" si="45"/>
        <v>9.8431606676180811E-2</v>
      </c>
      <c r="P236" s="15">
        <f t="shared" si="39"/>
        <v>3.3494747852855701E-2</v>
      </c>
    </row>
    <row r="237" spans="1:16" x14ac:dyDescent="0.3">
      <c r="A237">
        <v>235</v>
      </c>
      <c r="B237" s="3">
        <v>45050</v>
      </c>
      <c r="C237">
        <v>71.89</v>
      </c>
      <c r="D237">
        <v>73.73</v>
      </c>
      <c r="E237">
        <v>68.2</v>
      </c>
      <c r="F237">
        <v>72.5</v>
      </c>
      <c r="G237" s="5">
        <f t="shared" si="40"/>
        <v>1.0195414738776451E-3</v>
      </c>
      <c r="H237" s="5">
        <f t="shared" ca="1" si="41"/>
        <v>-43.457959701526583</v>
      </c>
      <c r="I237">
        <f t="shared" ca="1" si="36"/>
        <v>78.277517654860233</v>
      </c>
      <c r="J237">
        <f t="shared" ca="1" si="42"/>
        <v>-3.2802560323312029E-3</v>
      </c>
      <c r="K237" s="12">
        <f t="shared" si="37"/>
        <v>110.20920113184695</v>
      </c>
      <c r="L237" s="12">
        <f t="shared" si="38"/>
        <v>0.14013439526520838</v>
      </c>
      <c r="M237" s="12">
        <f t="shared" si="43"/>
        <v>79.938765615431706</v>
      </c>
      <c r="N237" s="12">
        <f t="shared" si="44"/>
        <v>140.47963664826221</v>
      </c>
      <c r="O237" s="14">
        <f t="shared" si="45"/>
        <v>9.776709777404903E-2</v>
      </c>
      <c r="P237" s="15">
        <f t="shared" si="39"/>
        <v>3.3080279028914597E-2</v>
      </c>
    </row>
    <row r="238" spans="1:16" x14ac:dyDescent="0.3">
      <c r="A238">
        <v>236</v>
      </c>
      <c r="B238" s="3">
        <v>45051</v>
      </c>
      <c r="C238">
        <v>72.650000000000006</v>
      </c>
      <c r="D238">
        <v>75.73</v>
      </c>
      <c r="E238">
        <v>72.41</v>
      </c>
      <c r="F238">
        <v>75.3</v>
      </c>
      <c r="G238" s="5">
        <f t="shared" si="40"/>
        <v>1.6456969629706875E-2</v>
      </c>
      <c r="H238" s="5">
        <f t="shared" ca="1" si="41"/>
        <v>-44.29402862819336</v>
      </c>
      <c r="I238">
        <f t="shared" ca="1" si="36"/>
        <v>77.681207963667433</v>
      </c>
      <c r="J238">
        <f t="shared" ca="1" si="42"/>
        <v>-7.6470565492937157E-3</v>
      </c>
      <c r="K238" s="12">
        <f t="shared" si="37"/>
        <v>110.1796883892212</v>
      </c>
      <c r="L238" s="12">
        <f t="shared" si="38"/>
        <v>0.14043515185496389</v>
      </c>
      <c r="M238" s="12">
        <f t="shared" si="43"/>
        <v>79.852409899486361</v>
      </c>
      <c r="N238" s="12">
        <f t="shared" si="44"/>
        <v>140.50696687895604</v>
      </c>
      <c r="O238" s="14">
        <f t="shared" si="45"/>
        <v>8.8079180550143021E-2</v>
      </c>
      <c r="P238" s="15">
        <f t="shared" si="39"/>
        <v>2.7326259957465363E-2</v>
      </c>
    </row>
    <row r="239" spans="1:16" x14ac:dyDescent="0.3">
      <c r="A239">
        <v>237</v>
      </c>
      <c r="B239" s="3">
        <v>45054</v>
      </c>
      <c r="C239">
        <v>75.41</v>
      </c>
      <c r="D239">
        <v>77.42</v>
      </c>
      <c r="E239">
        <v>74.959999999999994</v>
      </c>
      <c r="F239">
        <v>77.010000000000005</v>
      </c>
      <c r="G239" s="5">
        <f t="shared" si="40"/>
        <v>9.7521471904052741E-3</v>
      </c>
      <c r="H239" s="5">
        <f t="shared" ca="1" si="41"/>
        <v>-43.16634543822569</v>
      </c>
      <c r="I239">
        <f t="shared" ca="1" si="36"/>
        <v>78.478953257239425</v>
      </c>
      <c r="J239">
        <f t="shared" ca="1" si="42"/>
        <v>1.0217103094523623E-2</v>
      </c>
      <c r="K239" s="12">
        <f t="shared" si="37"/>
        <v>110.15018354976478</v>
      </c>
      <c r="L239" s="12">
        <f t="shared" si="38"/>
        <v>0.14073529052830108</v>
      </c>
      <c r="M239" s="12">
        <f t="shared" si="43"/>
        <v>79.766228105865977</v>
      </c>
      <c r="N239" s="12">
        <f t="shared" si="44"/>
        <v>140.53413899366356</v>
      </c>
      <c r="O239" s="14">
        <f t="shared" si="45"/>
        <v>8.2392907052042524E-2</v>
      </c>
      <c r="P239" s="15">
        <f t="shared" si="39"/>
        <v>2.4161003487102737E-2</v>
      </c>
    </row>
    <row r="240" spans="1:16" x14ac:dyDescent="0.3">
      <c r="A240">
        <v>238</v>
      </c>
      <c r="B240" s="3">
        <v>45055</v>
      </c>
      <c r="C240">
        <v>76.849999999999994</v>
      </c>
      <c r="D240">
        <v>77.489999999999995</v>
      </c>
      <c r="E240">
        <v>75.069999999999993</v>
      </c>
      <c r="F240">
        <v>77.44</v>
      </c>
      <c r="G240" s="5">
        <f t="shared" si="40"/>
        <v>2.4182209092313608E-3</v>
      </c>
      <c r="H240" s="5">
        <f t="shared" ca="1" si="41"/>
        <v>-43.389258415127571</v>
      </c>
      <c r="I240">
        <f t="shared" ca="1" si="36"/>
        <v>78.316732026770467</v>
      </c>
      <c r="J240">
        <f t="shared" ca="1" si="42"/>
        <v>-2.0692060250999439E-3</v>
      </c>
      <c r="K240" s="12">
        <f t="shared" si="37"/>
        <v>110.12068661136129</v>
      </c>
      <c r="L240" s="12">
        <f t="shared" si="38"/>
        <v>0.14103481523226391</v>
      </c>
      <c r="M240" s="12">
        <f t="shared" si="43"/>
        <v>79.680219259973882</v>
      </c>
      <c r="N240" s="12">
        <f t="shared" si="44"/>
        <v>140.5611539627487</v>
      </c>
      <c r="O240" s="14">
        <f t="shared" si="45"/>
        <v>8.0945670470809361E-2</v>
      </c>
      <c r="P240" s="15">
        <f t="shared" si="39"/>
        <v>2.3379500584357622E-2</v>
      </c>
    </row>
    <row r="241" spans="1:16" x14ac:dyDescent="0.3">
      <c r="A241">
        <v>239</v>
      </c>
      <c r="B241" s="3">
        <v>45056</v>
      </c>
      <c r="C241">
        <v>77.25</v>
      </c>
      <c r="D241">
        <v>77.599999999999994</v>
      </c>
      <c r="E241">
        <v>75.680000000000007</v>
      </c>
      <c r="F241">
        <v>76.41</v>
      </c>
      <c r="G241" s="5">
        <f t="shared" si="40"/>
        <v>-5.8151446170597119E-3</v>
      </c>
      <c r="H241" s="5">
        <f t="shared" ca="1" si="41"/>
        <v>-42.461177199115035</v>
      </c>
      <c r="I241">
        <f t="shared" ca="1" si="36"/>
        <v>78.977468653432595</v>
      </c>
      <c r="J241">
        <f t="shared" ca="1" si="42"/>
        <v>8.4013334269816223E-3</v>
      </c>
      <c r="K241" s="12">
        <f t="shared" si="37"/>
        <v>110.09119757189494</v>
      </c>
      <c r="L241" s="12">
        <f t="shared" si="38"/>
        <v>0.14133372987240345</v>
      </c>
      <c r="M241" s="12">
        <f t="shared" si="43"/>
        <v>79.59438239714197</v>
      </c>
      <c r="N241" s="12">
        <f t="shared" si="44"/>
        <v>140.58801274664793</v>
      </c>
      <c r="O241" s="14">
        <f t="shared" si="45"/>
        <v>8.4221851420631461E-2</v>
      </c>
      <c r="P241" s="15">
        <f t="shared" si="39"/>
        <v>2.5154720118591462E-2</v>
      </c>
    </row>
    <row r="242" spans="1:16" x14ac:dyDescent="0.3">
      <c r="A242">
        <v>240</v>
      </c>
      <c r="B242" s="3">
        <v>45057</v>
      </c>
      <c r="C242">
        <v>76.64</v>
      </c>
      <c r="D242">
        <v>77.400000000000006</v>
      </c>
      <c r="E242">
        <v>74.62</v>
      </c>
      <c r="F242">
        <v>74.98</v>
      </c>
      <c r="G242" s="5">
        <f t="shared" si="40"/>
        <v>-8.204763597745638E-3</v>
      </c>
      <c r="H242" s="5">
        <f t="shared" ca="1" si="41"/>
        <v>-42.528425665882935</v>
      </c>
      <c r="I242">
        <f t="shared" ca="1" si="36"/>
        <v>78.925902674184073</v>
      </c>
      <c r="J242">
        <f t="shared" ca="1" si="42"/>
        <v>-6.5313337705285787E-4</v>
      </c>
      <c r="K242" s="12">
        <f t="shared" si="37"/>
        <v>110.0617164292505</v>
      </c>
      <c r="L242" s="12">
        <f t="shared" si="38"/>
        <v>0.14163203831338295</v>
      </c>
      <c r="M242" s="12">
        <f t="shared" si="43"/>
        <v>79.508716562487677</v>
      </c>
      <c r="N242" s="12">
        <f t="shared" si="44"/>
        <v>140.61471629601331</v>
      </c>
      <c r="O242" s="14">
        <f t="shared" si="45"/>
        <v>8.8904371360854467E-2</v>
      </c>
      <c r="P242" s="15">
        <f t="shared" si="39"/>
        <v>2.7785837917192486E-2</v>
      </c>
    </row>
    <row r="243" spans="1:16" x14ac:dyDescent="0.3">
      <c r="A243">
        <v>241</v>
      </c>
      <c r="B243" s="3">
        <v>45058</v>
      </c>
      <c r="C243">
        <v>75.459999999999994</v>
      </c>
      <c r="D243">
        <v>75.84</v>
      </c>
      <c r="E243">
        <v>74.03</v>
      </c>
      <c r="F243">
        <v>74.17</v>
      </c>
      <c r="G243" s="5">
        <f t="shared" si="40"/>
        <v>-4.7171570737374697E-3</v>
      </c>
      <c r="H243" s="5">
        <f t="shared" ca="1" si="41"/>
        <v>-42.135631910234082</v>
      </c>
      <c r="I243">
        <f t="shared" ca="1" si="36"/>
        <v>79.20514987185696</v>
      </c>
      <c r="J243">
        <f t="shared" ca="1" si="42"/>
        <v>3.5318488488269872E-3</v>
      </c>
      <c r="K243" s="12">
        <f t="shared" si="37"/>
        <v>110.03224318131323</v>
      </c>
      <c r="L243" s="12">
        <f t="shared" si="38"/>
        <v>0.14192974437957245</v>
      </c>
      <c r="M243" s="12">
        <f t="shared" si="43"/>
        <v>79.423220810773145</v>
      </c>
      <c r="N243" s="12">
        <f t="shared" si="44"/>
        <v>140.64126555185331</v>
      </c>
      <c r="O243" s="14">
        <f t="shared" si="45"/>
        <v>9.1588652433496967E-2</v>
      </c>
      <c r="P243" s="15">
        <f t="shared" si="39"/>
        <v>2.9340842315439281E-2</v>
      </c>
    </row>
    <row r="244" spans="1:16" x14ac:dyDescent="0.3">
      <c r="A244">
        <v>242</v>
      </c>
      <c r="B244" s="3">
        <v>45061</v>
      </c>
      <c r="C244">
        <v>74.25</v>
      </c>
      <c r="D244">
        <v>75.75</v>
      </c>
      <c r="E244">
        <v>73.489999999999995</v>
      </c>
      <c r="F244">
        <v>75.23</v>
      </c>
      <c r="G244" s="5">
        <f t="shared" si="40"/>
        <v>6.1627828073931457E-3</v>
      </c>
      <c r="H244" s="5">
        <f t="shared" ca="1" si="41"/>
        <v>-43.321882314299629</v>
      </c>
      <c r="I244">
        <f t="shared" ca="1" si="36"/>
        <v>78.351779406542946</v>
      </c>
      <c r="J244">
        <f t="shared" ca="1" si="42"/>
        <v>-1.0832640800772852E-2</v>
      </c>
      <c r="K244" s="12">
        <f t="shared" si="37"/>
        <v>110.0027778259691</v>
      </c>
      <c r="L244" s="12">
        <f t="shared" si="38"/>
        <v>0.14222685185563702</v>
      </c>
      <c r="M244" s="12">
        <f t="shared" si="43"/>
        <v>79.337894206266299</v>
      </c>
      <c r="N244" s="12">
        <f t="shared" si="44"/>
        <v>140.66766144567191</v>
      </c>
      <c r="O244" s="14">
        <f t="shared" si="45"/>
        <v>8.7941471146860684E-2</v>
      </c>
      <c r="P244" s="15">
        <f t="shared" si="39"/>
        <v>2.7229154998174552E-2</v>
      </c>
    </row>
    <row r="245" spans="1:16" x14ac:dyDescent="0.3">
      <c r="A245">
        <v>243</v>
      </c>
      <c r="B245" s="3">
        <v>45062</v>
      </c>
      <c r="C245">
        <v>75.45</v>
      </c>
      <c r="D245">
        <v>75.95</v>
      </c>
      <c r="E245">
        <v>74.5</v>
      </c>
      <c r="F245">
        <v>74.91</v>
      </c>
      <c r="G245" s="5">
        <f t="shared" si="40"/>
        <v>-1.8512647481774413E-3</v>
      </c>
      <c r="H245" s="5">
        <f t="shared" ca="1" si="41"/>
        <v>-44.227838730215957</v>
      </c>
      <c r="I245">
        <f t="shared" ca="1" si="36"/>
        <v>77.70548600404328</v>
      </c>
      <c r="J245">
        <f t="shared" ca="1" si="42"/>
        <v>-8.2828197163879909E-3</v>
      </c>
      <c r="K245" s="12">
        <f t="shared" si="37"/>
        <v>109.97332036110453</v>
      </c>
      <c r="L245" s="12">
        <f t="shared" si="38"/>
        <v>0.14252336448710931</v>
      </c>
      <c r="M245" s="12">
        <f t="shared" si="43"/>
        <v>79.252735822605189</v>
      </c>
      <c r="N245" s="12">
        <f t="shared" si="44"/>
        <v>140.69390489960387</v>
      </c>
      <c r="O245" s="14">
        <f t="shared" si="45"/>
        <v>8.8953854617973754E-2</v>
      </c>
      <c r="P245" s="15">
        <f t="shared" si="39"/>
        <v>2.7804742290899659E-2</v>
      </c>
    </row>
    <row r="246" spans="1:16" x14ac:dyDescent="0.3">
      <c r="A246">
        <v>244</v>
      </c>
      <c r="B246" s="3">
        <v>45063</v>
      </c>
      <c r="C246">
        <v>74.680000000000007</v>
      </c>
      <c r="D246">
        <v>77.31</v>
      </c>
      <c r="E246">
        <v>74.09</v>
      </c>
      <c r="F246">
        <v>76.959999999999994</v>
      </c>
      <c r="G246" s="5">
        <f t="shared" si="40"/>
        <v>1.1725261958746328E-2</v>
      </c>
      <c r="H246" s="5">
        <f t="shared" ca="1" si="41"/>
        <v>-44.918558318409076</v>
      </c>
      <c r="I246">
        <f t="shared" ca="1" si="36"/>
        <v>77.215563719541734</v>
      </c>
      <c r="J246">
        <f t="shared" ca="1" si="42"/>
        <v>-6.3248205274342708E-3</v>
      </c>
      <c r="K246" s="12">
        <f t="shared" si="37"/>
        <v>109.94387078460652</v>
      </c>
      <c r="L246" s="12">
        <f t="shared" si="38"/>
        <v>0.14281928598095306</v>
      </c>
      <c r="M246" s="12">
        <f t="shared" si="43"/>
        <v>79.16774474266478</v>
      </c>
      <c r="N246" s="12">
        <f t="shared" si="44"/>
        <v>140.71999682654825</v>
      </c>
      <c r="O246" s="14">
        <f t="shared" si="45"/>
        <v>8.2123115888112622E-2</v>
      </c>
      <c r="P246" s="15">
        <f t="shared" si="39"/>
        <v>2.3995857694665546E-2</v>
      </c>
    </row>
    <row r="247" spans="1:16" x14ac:dyDescent="0.3">
      <c r="A247">
        <v>245</v>
      </c>
      <c r="B247" s="3">
        <v>45064</v>
      </c>
      <c r="C247">
        <v>76.790000000000006</v>
      </c>
      <c r="D247">
        <v>76.98</v>
      </c>
      <c r="E247">
        <v>75.48</v>
      </c>
      <c r="F247">
        <v>75.86</v>
      </c>
      <c r="G247" s="5">
        <f t="shared" si="40"/>
        <v>-6.2522206629847888E-3</v>
      </c>
      <c r="H247" s="5">
        <f t="shared" ca="1" si="41"/>
        <v>-44.865607259947957</v>
      </c>
      <c r="I247">
        <f t="shared" ca="1" si="36"/>
        <v>77.249570453182741</v>
      </c>
      <c r="J247">
        <f t="shared" ca="1" si="42"/>
        <v>4.4031598939880549E-4</v>
      </c>
      <c r="K247" s="12">
        <f t="shared" si="37"/>
        <v>109.91442909436267</v>
      </c>
      <c r="L247" s="12">
        <f t="shared" si="38"/>
        <v>0.14311462000611624</v>
      </c>
      <c r="M247" s="12">
        <f t="shared" si="43"/>
        <v>79.082920058425984</v>
      </c>
      <c r="N247" s="12">
        <f t="shared" si="44"/>
        <v>140.74593813029935</v>
      </c>
      <c r="O247" s="14">
        <f t="shared" si="45"/>
        <v>8.5659984244665671E-2</v>
      </c>
      <c r="P247" s="15">
        <f t="shared" si="39"/>
        <v>2.5934483929900394E-2</v>
      </c>
    </row>
    <row r="248" spans="1:16" x14ac:dyDescent="0.3">
      <c r="A248">
        <v>246</v>
      </c>
      <c r="B248" s="3">
        <v>45065</v>
      </c>
      <c r="C248">
        <v>75.900000000000006</v>
      </c>
      <c r="D248">
        <v>77.5</v>
      </c>
      <c r="E248">
        <v>75.099999999999994</v>
      </c>
      <c r="F248">
        <v>75.58</v>
      </c>
      <c r="G248" s="5">
        <f t="shared" si="40"/>
        <v>-1.6059507857760422E-3</v>
      </c>
      <c r="H248" s="5">
        <f t="shared" ca="1" si="41"/>
        <v>-46.431514033523221</v>
      </c>
      <c r="I248">
        <f t="shared" ca="1" si="36"/>
        <v>76.153801441972604</v>
      </c>
      <c r="J248">
        <f t="shared" ca="1" si="42"/>
        <v>-1.428635674448233E-2</v>
      </c>
      <c r="K248" s="12">
        <f t="shared" si="37"/>
        <v>109.88499528826117</v>
      </c>
      <c r="L248" s="12">
        <f t="shared" si="38"/>
        <v>0.14340937019407493</v>
      </c>
      <c r="M248" s="12">
        <f t="shared" si="43"/>
        <v>78.998260870847048</v>
      </c>
      <c r="N248" s="12">
        <f t="shared" si="44"/>
        <v>140.77172970567528</v>
      </c>
      <c r="O248" s="14">
        <f t="shared" si="45"/>
        <v>8.6526251254452263E-2</v>
      </c>
      <c r="P248" s="15">
        <f t="shared" si="39"/>
        <v>2.6416490544348997E-2</v>
      </c>
    </row>
    <row r="249" spans="1:16" x14ac:dyDescent="0.3">
      <c r="A249">
        <v>247</v>
      </c>
      <c r="B249" s="3">
        <v>45068</v>
      </c>
      <c r="C249">
        <v>75.739999999999995</v>
      </c>
      <c r="D249">
        <v>76.459999999999994</v>
      </c>
      <c r="E249">
        <v>74.55</v>
      </c>
      <c r="F249">
        <v>75.989999999999995</v>
      </c>
      <c r="G249" s="5">
        <f t="shared" si="40"/>
        <v>2.3495569292147204E-3</v>
      </c>
      <c r="H249" s="5">
        <f t="shared" ca="1" si="41"/>
        <v>-47.125876189263622</v>
      </c>
      <c r="I249">
        <f t="shared" ca="1" si="36"/>
        <v>75.671154811984621</v>
      </c>
      <c r="J249">
        <f t="shared" ca="1" si="42"/>
        <v>-6.3579567912362689E-3</v>
      </c>
      <c r="K249" s="12">
        <f t="shared" si="37"/>
        <v>109.85556936419069</v>
      </c>
      <c r="L249" s="12">
        <f t="shared" si="38"/>
        <v>0.14370354013936468</v>
      </c>
      <c r="M249" s="12">
        <f t="shared" si="43"/>
        <v>78.913766289737609</v>
      </c>
      <c r="N249" s="12">
        <f t="shared" si="44"/>
        <v>140.79737243864378</v>
      </c>
      <c r="O249" s="14">
        <f t="shared" si="45"/>
        <v>8.5107051082459875E-2</v>
      </c>
      <c r="P249" s="15">
        <f t="shared" si="39"/>
        <v>2.5621007442837268E-2</v>
      </c>
    </row>
    <row r="250" spans="1:16" x14ac:dyDescent="0.3">
      <c r="A250">
        <v>248</v>
      </c>
      <c r="B250" s="3">
        <v>45069</v>
      </c>
      <c r="C250">
        <v>75.97</v>
      </c>
      <c r="D250">
        <v>77.739999999999995</v>
      </c>
      <c r="E250">
        <v>75.650000000000006</v>
      </c>
      <c r="F250">
        <v>76.84</v>
      </c>
      <c r="G250" s="5">
        <f t="shared" si="40"/>
        <v>4.83091167944571E-3</v>
      </c>
      <c r="H250" s="5">
        <f t="shared" ca="1" si="41"/>
        <v>-46.04277604959907</v>
      </c>
      <c r="I250">
        <f t="shared" ca="1" si="36"/>
        <v>76.417259088186228</v>
      </c>
      <c r="J250">
        <f t="shared" ca="1" si="42"/>
        <v>9.8115332054949256E-3</v>
      </c>
      <c r="K250" s="12">
        <f t="shared" si="37"/>
        <v>109.82615132004052</v>
      </c>
      <c r="L250" s="12">
        <f t="shared" si="38"/>
        <v>0.14399713340010623</v>
      </c>
      <c r="M250" s="12">
        <f t="shared" si="43"/>
        <v>78.829435433634359</v>
      </c>
      <c r="N250" s="12">
        <f t="shared" si="44"/>
        <v>140.82286720644669</v>
      </c>
      <c r="O250" s="14">
        <f t="shared" si="45"/>
        <v>8.2265299468009367E-2</v>
      </c>
      <c r="P250" s="15">
        <f t="shared" si="39"/>
        <v>2.4061720664890561E-2</v>
      </c>
    </row>
    <row r="251" spans="1:16" x14ac:dyDescent="0.3">
      <c r="A251">
        <v>249</v>
      </c>
      <c r="B251" s="3">
        <v>45070</v>
      </c>
      <c r="C251">
        <v>77.59</v>
      </c>
      <c r="D251">
        <v>78.66</v>
      </c>
      <c r="E251">
        <v>77.040000000000006</v>
      </c>
      <c r="F251">
        <v>78.36</v>
      </c>
      <c r="G251" s="5">
        <f t="shared" si="40"/>
        <v>8.5070711330426478E-3</v>
      </c>
      <c r="H251" s="5">
        <f t="shared" ca="1" si="41"/>
        <v>-45.632908092918186</v>
      </c>
      <c r="I251">
        <f t="shared" ca="1" si="36"/>
        <v>76.699542763994856</v>
      </c>
      <c r="J251">
        <f t="shared" ca="1" si="42"/>
        <v>3.687172043869319E-3</v>
      </c>
      <c r="K251" s="12">
        <f t="shared" si="37"/>
        <v>109.79674115370054</v>
      </c>
      <c r="L251" s="12">
        <f t="shared" si="38"/>
        <v>0.14429015349851718</v>
      </c>
      <c r="M251" s="12">
        <f t="shared" si="43"/>
        <v>78.745267429679899</v>
      </c>
      <c r="N251" s="12">
        <f t="shared" si="44"/>
        <v>140.84821487772118</v>
      </c>
      <c r="O251" s="14">
        <f t="shared" si="45"/>
        <v>7.7343040925866843E-2</v>
      </c>
      <c r="P251" s="15">
        <f t="shared" si="39"/>
        <v>2.1460791708066033E-2</v>
      </c>
    </row>
    <row r="252" spans="1:16" x14ac:dyDescent="0.3">
      <c r="A252">
        <v>250</v>
      </c>
      <c r="B252" s="3">
        <v>45071</v>
      </c>
      <c r="C252">
        <v>78.260000000000005</v>
      </c>
      <c r="D252">
        <v>78.5</v>
      </c>
      <c r="E252">
        <v>75.12</v>
      </c>
      <c r="F252">
        <v>76.260000000000005</v>
      </c>
      <c r="G252" s="5">
        <f t="shared" si="40"/>
        <v>-1.1797626385046929E-2</v>
      </c>
      <c r="H252" s="5">
        <f t="shared" ca="1" si="41"/>
        <v>-46.223226657153283</v>
      </c>
      <c r="I252">
        <f t="shared" ca="1" si="36"/>
        <v>76.28560595311825</v>
      </c>
      <c r="J252">
        <f t="shared" ca="1" si="42"/>
        <v>-5.4114771857793169E-3</v>
      </c>
      <c r="K252" s="12">
        <f t="shared" si="37"/>
        <v>109.76733886306113</v>
      </c>
      <c r="L252" s="12">
        <f t="shared" si="38"/>
        <v>0.14458260392141636</v>
      </c>
      <c r="M252" s="12">
        <f t="shared" si="43"/>
        <v>78.66126141350324</v>
      </c>
      <c r="N252" s="12">
        <f t="shared" si="44"/>
        <v>140.87341631261901</v>
      </c>
      <c r="O252" s="14">
        <f t="shared" si="45"/>
        <v>8.4033684023163802E-2</v>
      </c>
      <c r="P252" s="15">
        <f t="shared" si="39"/>
        <v>2.5019752829960818E-2</v>
      </c>
    </row>
    <row r="253" spans="1:16" x14ac:dyDescent="0.3">
      <c r="A253">
        <v>251</v>
      </c>
      <c r="B253" s="3">
        <v>45072</v>
      </c>
      <c r="C253">
        <v>76.12</v>
      </c>
      <c r="D253">
        <v>77.349999999999994</v>
      </c>
      <c r="E253">
        <v>75.72</v>
      </c>
      <c r="F253">
        <v>76.95</v>
      </c>
      <c r="G253" s="5">
        <f t="shared" si="40"/>
        <v>3.9118232298457033E-3</v>
      </c>
      <c r="H253" s="5">
        <f t="shared" ca="1" si="41"/>
        <v>-45.410173655727867</v>
      </c>
      <c r="I253">
        <f t="shared" ca="1" si="36"/>
        <v>76.848749434478123</v>
      </c>
      <c r="J253">
        <f t="shared" ca="1" si="42"/>
        <v>7.3549272275834979E-3</v>
      </c>
      <c r="K253" s="12">
        <f t="shared" si="37"/>
        <v>109.7379444460133</v>
      </c>
      <c r="L253" s="12">
        <f t="shared" si="38"/>
        <v>0.14487448812072268</v>
      </c>
      <c r="M253" s="12">
        <f t="shared" si="43"/>
        <v>78.577416529101797</v>
      </c>
      <c r="N253" s="12">
        <f t="shared" si="44"/>
        <v>140.89847236292479</v>
      </c>
      <c r="O253" s="14">
        <f t="shared" si="45"/>
        <v>8.1723832038399238E-2</v>
      </c>
      <c r="P253" s="15">
        <f t="shared" si="39"/>
        <v>2.3761666573868977E-2</v>
      </c>
    </row>
    <row r="254" spans="1:16" x14ac:dyDescent="0.3">
      <c r="A254">
        <v>252</v>
      </c>
      <c r="B254" s="3">
        <v>45076</v>
      </c>
      <c r="C254">
        <v>77.37</v>
      </c>
      <c r="D254">
        <v>77.739999999999995</v>
      </c>
      <c r="E254">
        <v>73.16</v>
      </c>
      <c r="F254">
        <v>73.540000000000006</v>
      </c>
      <c r="G254" s="5">
        <f t="shared" si="40"/>
        <v>-1.9684998634653894E-2</v>
      </c>
      <c r="H254" s="5">
        <f t="shared" ca="1" si="41"/>
        <v>-45.567429346111311</v>
      </c>
      <c r="I254">
        <f t="shared" ca="1" si="36"/>
        <v>76.735717061465451</v>
      </c>
      <c r="J254">
        <f t="shared" ca="1" si="42"/>
        <v>-1.4719248111370411E-3</v>
      </c>
      <c r="K254" s="12">
        <f t="shared" si="37"/>
        <v>109.70855790044857</v>
      </c>
      <c r="L254" s="12">
        <f t="shared" si="38"/>
        <v>0.14516580951393765</v>
      </c>
      <c r="M254" s="12">
        <f t="shared" si="43"/>
        <v>78.493731928726945</v>
      </c>
      <c r="N254" s="12">
        <f t="shared" si="44"/>
        <v>140.92338387217021</v>
      </c>
      <c r="O254" s="14">
        <f t="shared" si="45"/>
        <v>9.3069746593103422E-2</v>
      </c>
      <c r="P254" s="15">
        <f t="shared" si="39"/>
        <v>3.0177554688216764E-2</v>
      </c>
    </row>
    <row r="255" spans="1:16" x14ac:dyDescent="0.3">
      <c r="A255">
        <v>253</v>
      </c>
      <c r="B255" s="3">
        <v>45077</v>
      </c>
      <c r="C255">
        <v>73.650000000000006</v>
      </c>
      <c r="D255">
        <v>73.77</v>
      </c>
      <c r="E255">
        <v>71.55</v>
      </c>
      <c r="F255">
        <v>72.66</v>
      </c>
      <c r="G255" s="5">
        <f t="shared" si="40"/>
        <v>-5.2282320061477561E-3</v>
      </c>
      <c r="H255" s="5">
        <f t="shared" ca="1" si="41"/>
        <v>-45.524634110169913</v>
      </c>
      <c r="I255">
        <f t="shared" ca="1" si="36"/>
        <v>76.762420284438846</v>
      </c>
      <c r="J255">
        <f t="shared" ca="1" si="42"/>
        <v>3.4792895476765562E-4</v>
      </c>
      <c r="K255" s="12">
        <f t="shared" si="37"/>
        <v>109.67917922425904</v>
      </c>
      <c r="L255" s="12">
        <f t="shared" si="38"/>
        <v>0.14545657148462582</v>
      </c>
      <c r="M255" s="12">
        <f t="shared" si="43"/>
        <v>78.410206772770337</v>
      </c>
      <c r="N255" s="12">
        <f t="shared" si="44"/>
        <v>140.94815167574777</v>
      </c>
      <c r="O255" s="14">
        <f t="shared" si="45"/>
        <v>9.6077602125570025E-2</v>
      </c>
      <c r="P255" s="15">
        <f t="shared" si="39"/>
        <v>3.1979739086190929E-2</v>
      </c>
    </row>
    <row r="256" spans="1:16" x14ac:dyDescent="0.3">
      <c r="A256">
        <v>254</v>
      </c>
      <c r="B256" s="3">
        <v>45078</v>
      </c>
      <c r="C256">
        <v>72.09</v>
      </c>
      <c r="D256">
        <v>75.25</v>
      </c>
      <c r="E256">
        <v>72.010000000000005</v>
      </c>
      <c r="F256">
        <v>74.28</v>
      </c>
      <c r="G256" s="5">
        <f t="shared" si="40"/>
        <v>9.5765015410469584E-3</v>
      </c>
      <c r="H256" s="5">
        <f t="shared" ca="1" si="41"/>
        <v>-43.778744065883728</v>
      </c>
      <c r="I256">
        <f t="shared" ca="1" si="36"/>
        <v>77.9880884339169</v>
      </c>
      <c r="J256">
        <f t="shared" ca="1" si="42"/>
        <v>1.5840901457310246E-2</v>
      </c>
      <c r="K256" s="12">
        <f t="shared" si="37"/>
        <v>109.64980841533742</v>
      </c>
      <c r="L256" s="12">
        <f t="shared" si="38"/>
        <v>0.14574677738288405</v>
      </c>
      <c r="M256" s="12">
        <f t="shared" si="43"/>
        <v>78.326840229652731</v>
      </c>
      <c r="N256" s="12">
        <f t="shared" si="44"/>
        <v>140.9727766010221</v>
      </c>
      <c r="O256" s="14">
        <f t="shared" si="45"/>
        <v>9.0404897617603466E-2</v>
      </c>
      <c r="P256" s="15">
        <f t="shared" si="39"/>
        <v>2.8606980450826339E-2</v>
      </c>
    </row>
    <row r="257" spans="1:16" x14ac:dyDescent="0.3">
      <c r="A257">
        <v>255</v>
      </c>
      <c r="B257" s="3">
        <v>45079</v>
      </c>
      <c r="C257">
        <v>74.41</v>
      </c>
      <c r="D257">
        <v>76.489999999999995</v>
      </c>
      <c r="E257">
        <v>74.180000000000007</v>
      </c>
      <c r="F257">
        <v>76.13</v>
      </c>
      <c r="G257" s="5">
        <f t="shared" si="40"/>
        <v>1.0683934725568776E-2</v>
      </c>
      <c r="H257" s="5">
        <f t="shared" ca="1" si="41"/>
        <v>-42.784329184738013</v>
      </c>
      <c r="I257">
        <f t="shared" ca="1" si="36"/>
        <v>78.693524424638554</v>
      </c>
      <c r="J257">
        <f t="shared" ca="1" si="42"/>
        <v>9.0047676250462477E-3</v>
      </c>
      <c r="K257" s="12">
        <f t="shared" si="37"/>
        <v>109.62044547157691</v>
      </c>
      <c r="L257" s="12">
        <f t="shared" si="38"/>
        <v>0.14603643052580054</v>
      </c>
      <c r="M257" s="12">
        <f t="shared" si="43"/>
        <v>78.243631475715105</v>
      </c>
      <c r="N257" s="12">
        <f t="shared" si="44"/>
        <v>140.99725946743874</v>
      </c>
      <c r="O257" s="14">
        <f t="shared" si="45"/>
        <v>8.4151493306451261E-2</v>
      </c>
      <c r="P257" s="15">
        <f t="shared" si="39"/>
        <v>2.5070204286559043E-2</v>
      </c>
    </row>
    <row r="258" spans="1:16" x14ac:dyDescent="0.3">
      <c r="A258">
        <v>256</v>
      </c>
      <c r="B258" s="3">
        <v>45082</v>
      </c>
      <c r="C258">
        <v>77.5</v>
      </c>
      <c r="D258">
        <v>78.72</v>
      </c>
      <c r="E258">
        <v>76.3</v>
      </c>
      <c r="F258">
        <v>76.709999999999994</v>
      </c>
      <c r="G258" s="5">
        <f t="shared" si="40"/>
        <v>3.2961529526862451E-3</v>
      </c>
      <c r="H258" s="5">
        <f t="shared" ca="1" si="41"/>
        <v>-43.365217606680126</v>
      </c>
      <c r="I258">
        <f t="shared" ref="I258:I321" ca="1" si="46">F$2*EXP((Mu-(0.5*(sigma^2))*A258)+sigma*H258)</f>
        <v>78.275540993668727</v>
      </c>
      <c r="J258">
        <f t="shared" ca="1" si="42"/>
        <v>-5.3256916296703476E-3</v>
      </c>
      <c r="K258" s="12">
        <f t="shared" ref="K258:K321" si="47">($I$2*EXP(Mu*A258))</f>
        <v>109.59109039087134</v>
      </c>
      <c r="L258" s="12">
        <f t="shared" ref="L258:L321" si="48">SQRT(EXP((sigma^2)*A258)-1)</f>
        <v>0.1463255341979115</v>
      </c>
      <c r="M258" s="12">
        <f t="shared" si="43"/>
        <v>78.16057969511067</v>
      </c>
      <c r="N258" s="12">
        <f t="shared" si="44"/>
        <v>141.02160108663202</v>
      </c>
      <c r="O258" s="14">
        <f t="shared" si="45"/>
        <v>8.2193862804579298E-2</v>
      </c>
      <c r="P258" s="15">
        <f t="shared" ref="P258:P321" si="49">(LOG10(F258)-LOG10(K258))^2</f>
        <v>2.4001218124014533E-2</v>
      </c>
    </row>
    <row r="259" spans="1:16" x14ac:dyDescent="0.3">
      <c r="A259">
        <v>257</v>
      </c>
      <c r="B259" s="3">
        <v>45083</v>
      </c>
      <c r="C259">
        <v>76.47</v>
      </c>
      <c r="D259">
        <v>76.760000000000005</v>
      </c>
      <c r="E259">
        <v>74.73</v>
      </c>
      <c r="F259">
        <v>76.290000000000006</v>
      </c>
      <c r="G259" s="5">
        <f t="shared" ref="G259:G322" si="50">IFERROR(LOG10(F259/F258),0)</f>
        <v>-2.3843678506265025E-3</v>
      </c>
      <c r="H259" s="5">
        <f t="shared" ref="H259:H322" ca="1" si="51">H258+(SQRT(DeltaT)*_xlfn.NORM.S.INV(RAND()))</f>
        <v>-43.236286079818107</v>
      </c>
      <c r="I259">
        <f t="shared" ca="1" si="46"/>
        <v>78.364160419887241</v>
      </c>
      <c r="J259">
        <f t="shared" ref="J259:J322" ca="1" si="52">IFERROR(LN(I259/I258),0)</f>
        <v>1.1315066981587951E-3</v>
      </c>
      <c r="K259" s="12">
        <f t="shared" si="47"/>
        <v>109.56174317111505</v>
      </c>
      <c r="L259" s="12">
        <f t="shared" si="48"/>
        <v>0.14661409165164324</v>
      </c>
      <c r="M259" s="12">
        <f t="shared" ref="M259:M322" si="53">(1-1.96*L259)*K259</f>
        <v>78.077684079699893</v>
      </c>
      <c r="N259" s="12">
        <f t="shared" ref="N259:N322" si="54">(1+1.96*L259)*K259</f>
        <v>141.04580226253023</v>
      </c>
      <c r="O259" s="14">
        <f t="shared" ref="O259:O322" si="55">ABS((LOG10(F259)-LOG10(K259))/LOG10(F259))</f>
        <v>8.3502800949386446E-2</v>
      </c>
      <c r="P259" s="15">
        <f t="shared" si="49"/>
        <v>2.4709110624430035E-2</v>
      </c>
    </row>
    <row r="260" spans="1:16" x14ac:dyDescent="0.3">
      <c r="A260">
        <v>258</v>
      </c>
      <c r="B260" s="3">
        <v>45084</v>
      </c>
      <c r="C260">
        <v>76.069999999999993</v>
      </c>
      <c r="D260">
        <v>77.62</v>
      </c>
      <c r="E260">
        <v>75.510000000000005</v>
      </c>
      <c r="F260">
        <v>76.95</v>
      </c>
      <c r="G260" s="5">
        <f t="shared" si="50"/>
        <v>3.7410092721261706E-3</v>
      </c>
      <c r="H260" s="5">
        <f t="shared" ca="1" si="51"/>
        <v>-43.330015471744495</v>
      </c>
      <c r="I260">
        <f t="shared" ca="1" si="46"/>
        <v>78.294131888961303</v>
      </c>
      <c r="J260">
        <f t="shared" ca="1" si="52"/>
        <v>-8.9402909425689034E-4</v>
      </c>
      <c r="K260" s="12">
        <f t="shared" si="47"/>
        <v>109.53240381020299</v>
      </c>
      <c r="L260" s="12">
        <f t="shared" si="48"/>
        <v>0.14690210610774929</v>
      </c>
      <c r="M260" s="12">
        <f t="shared" si="53"/>
        <v>77.994943828946958</v>
      </c>
      <c r="N260" s="12">
        <f t="shared" si="54"/>
        <v>141.06986379145903</v>
      </c>
      <c r="O260" s="14">
        <f t="shared" si="55"/>
        <v>8.1292171351781448E-2</v>
      </c>
      <c r="P260" s="15">
        <f t="shared" si="49"/>
        <v>2.3511313924842795E-2</v>
      </c>
    </row>
    <row r="261" spans="1:16" x14ac:dyDescent="0.3">
      <c r="A261">
        <v>259</v>
      </c>
      <c r="B261" s="3">
        <v>45085</v>
      </c>
      <c r="C261">
        <v>76.8</v>
      </c>
      <c r="D261">
        <v>77.66</v>
      </c>
      <c r="E261">
        <v>73.569999999999993</v>
      </c>
      <c r="F261">
        <v>75.959999999999994</v>
      </c>
      <c r="G261" s="5">
        <f t="shared" si="50"/>
        <v>-5.6236681025176195E-3</v>
      </c>
      <c r="H261" s="5">
        <f t="shared" ca="1" si="51"/>
        <v>-44.335724604652853</v>
      </c>
      <c r="I261">
        <f t="shared" ca="1" si="46"/>
        <v>77.577884328318518</v>
      </c>
      <c r="J261">
        <f t="shared" ca="1" si="52"/>
        <v>-9.1902654403951817E-3</v>
      </c>
      <c r="K261" s="12">
        <f t="shared" si="47"/>
        <v>109.50307230603065</v>
      </c>
      <c r="L261" s="12">
        <f t="shared" si="48"/>
        <v>0.14718958075574168</v>
      </c>
      <c r="M261" s="12">
        <f t="shared" si="53"/>
        <v>77.912358149817635</v>
      </c>
      <c r="N261" s="12">
        <f t="shared" si="54"/>
        <v>141.09378646224366</v>
      </c>
      <c r="O261" s="14">
        <f t="shared" si="55"/>
        <v>8.4463798183731328E-2</v>
      </c>
      <c r="P261" s="15">
        <f t="shared" si="49"/>
        <v>2.5230573896860689E-2</v>
      </c>
    </row>
    <row r="262" spans="1:16" x14ac:dyDescent="0.3">
      <c r="A262">
        <v>260</v>
      </c>
      <c r="B262" s="3">
        <v>45086</v>
      </c>
      <c r="C262">
        <v>75.53</v>
      </c>
      <c r="D262">
        <v>76.55</v>
      </c>
      <c r="E262">
        <v>74.72</v>
      </c>
      <c r="F262">
        <v>74.790000000000006</v>
      </c>
      <c r="G262" s="5">
        <f t="shared" si="50"/>
        <v>-6.7414228415439998E-3</v>
      </c>
      <c r="H262" s="5">
        <f t="shared" ca="1" si="51"/>
        <v>-44.981770294773973</v>
      </c>
      <c r="I262">
        <f t="shared" ca="1" si="46"/>
        <v>77.120101512984647</v>
      </c>
      <c r="J262">
        <f t="shared" ca="1" si="52"/>
        <v>-5.9184242005712682E-3</v>
      </c>
      <c r="K262" s="12">
        <f t="shared" si="47"/>
        <v>109.47374865649407</v>
      </c>
      <c r="L262" s="12">
        <f t="shared" si="48"/>
        <v>0.14747651875431383</v>
      </c>
      <c r="M262" s="12">
        <f t="shared" si="53"/>
        <v>77.829926256678874</v>
      </c>
      <c r="N262" s="12">
        <f t="shared" si="54"/>
        <v>141.11757105630926</v>
      </c>
      <c r="O262" s="14">
        <f t="shared" si="55"/>
        <v>8.8303240647964673E-2</v>
      </c>
      <c r="P262" s="15">
        <f t="shared" si="49"/>
        <v>2.7379148210404828E-2</v>
      </c>
    </row>
    <row r="263" spans="1:16" x14ac:dyDescent="0.3">
      <c r="A263">
        <v>261</v>
      </c>
      <c r="B263" s="3">
        <v>45089</v>
      </c>
      <c r="C263">
        <v>74.88</v>
      </c>
      <c r="D263">
        <v>74.88</v>
      </c>
      <c r="E263">
        <v>71.569999999999993</v>
      </c>
      <c r="F263">
        <v>71.84</v>
      </c>
      <c r="G263" s="5">
        <f t="shared" si="50"/>
        <v>-1.7477209564187916E-2</v>
      </c>
      <c r="H263" s="5">
        <f t="shared" ca="1" si="51"/>
        <v>-46.501699891085728</v>
      </c>
      <c r="I263">
        <f t="shared" ca="1" si="46"/>
        <v>76.057973754485644</v>
      </c>
      <c r="J263">
        <f t="shared" ca="1" si="52"/>
        <v>-1.3868104548774707E-2</v>
      </c>
      <c r="K263" s="12">
        <f t="shared" si="47"/>
        <v>109.44443285948988</v>
      </c>
      <c r="L263" s="12">
        <f t="shared" si="48"/>
        <v>0.1477629232317523</v>
      </c>
      <c r="M263" s="12">
        <f t="shared" si="53"/>
        <v>77.74764737120131</v>
      </c>
      <c r="N263" s="12">
        <f t="shared" si="54"/>
        <v>141.14121834777845</v>
      </c>
      <c r="O263" s="14">
        <f t="shared" si="55"/>
        <v>9.8486677493451885E-2</v>
      </c>
      <c r="P263" s="15">
        <f t="shared" si="49"/>
        <v>3.3425840430153016E-2</v>
      </c>
    </row>
    <row r="264" spans="1:16" x14ac:dyDescent="0.3">
      <c r="A264">
        <v>262</v>
      </c>
      <c r="B264" s="3">
        <v>45090</v>
      </c>
      <c r="C264">
        <v>72</v>
      </c>
      <c r="D264">
        <v>74.650000000000006</v>
      </c>
      <c r="E264">
        <v>71.95</v>
      </c>
      <c r="F264">
        <v>74.290000000000006</v>
      </c>
      <c r="G264" s="5">
        <f t="shared" si="50"/>
        <v>1.4564034689447839E-2</v>
      </c>
      <c r="H264" s="5">
        <f t="shared" ca="1" si="51"/>
        <v>-45.441835511192537</v>
      </c>
      <c r="I264">
        <f t="shared" ca="1" si="46"/>
        <v>76.791658475559672</v>
      </c>
      <c r="J264">
        <f t="shared" ca="1" si="52"/>
        <v>9.6001586035349903E-3</v>
      </c>
      <c r="K264" s="12">
        <f t="shared" si="47"/>
        <v>109.41512491291526</v>
      </c>
      <c r="L264" s="12">
        <f t="shared" si="48"/>
        <v>0.14804879728634687</v>
      </c>
      <c r="M264" s="12">
        <f t="shared" si="53"/>
        <v>77.665520722261931</v>
      </c>
      <c r="N264" s="12">
        <f t="shared" si="54"/>
        <v>141.16472910356859</v>
      </c>
      <c r="O264" s="14">
        <f t="shared" si="55"/>
        <v>8.9873469314901588E-2</v>
      </c>
      <c r="P264" s="15">
        <f t="shared" si="49"/>
        <v>2.827341433249261E-2</v>
      </c>
    </row>
    <row r="265" spans="1:16" x14ac:dyDescent="0.3">
      <c r="A265">
        <v>263</v>
      </c>
      <c r="B265" s="3">
        <v>45091</v>
      </c>
      <c r="C265">
        <v>74.069999999999993</v>
      </c>
      <c r="D265">
        <v>75.48</v>
      </c>
      <c r="E265">
        <v>73.03</v>
      </c>
      <c r="F265">
        <v>73.2</v>
      </c>
      <c r="G265" s="5">
        <f t="shared" si="50"/>
        <v>-6.4192772903039182E-3</v>
      </c>
      <c r="H265" s="5">
        <f t="shared" ca="1" si="51"/>
        <v>-44.835939235024263</v>
      </c>
      <c r="I265">
        <f t="shared" ca="1" si="46"/>
        <v>77.212893165495856</v>
      </c>
      <c r="J265">
        <f t="shared" ca="1" si="52"/>
        <v>5.4704323466176321E-3</v>
      </c>
      <c r="K265" s="12">
        <f t="shared" si="47"/>
        <v>109.38582481466797</v>
      </c>
      <c r="L265" s="12">
        <f t="shared" si="48"/>
        <v>0.14833414398679048</v>
      </c>
      <c r="M265" s="12">
        <f t="shared" si="53"/>
        <v>77.58354554584929</v>
      </c>
      <c r="N265" s="12">
        <f t="shared" si="54"/>
        <v>141.18810408348665</v>
      </c>
      <c r="O265" s="14">
        <f t="shared" si="55"/>
        <v>9.3563383251941037E-2</v>
      </c>
      <c r="P265" s="15">
        <f t="shared" si="49"/>
        <v>3.0432790237756246E-2</v>
      </c>
    </row>
    <row r="266" spans="1:16" x14ac:dyDescent="0.3">
      <c r="A266">
        <v>264</v>
      </c>
      <c r="B266" s="3">
        <v>45092</v>
      </c>
      <c r="C266">
        <v>73.47</v>
      </c>
      <c r="D266">
        <v>75.959999999999994</v>
      </c>
      <c r="E266">
        <v>72.91</v>
      </c>
      <c r="F266">
        <v>75.67</v>
      </c>
      <c r="G266" s="5">
        <f t="shared" si="50"/>
        <v>1.4412652909175261E-2</v>
      </c>
      <c r="H266" s="5">
        <f t="shared" ca="1" si="51"/>
        <v>-44.904165847912964</v>
      </c>
      <c r="I266">
        <f t="shared" ca="1" si="46"/>
        <v>77.161792712942926</v>
      </c>
      <c r="J266">
        <f t="shared" ca="1" si="52"/>
        <v>-6.6203152581057617E-4</v>
      </c>
      <c r="K266" s="12">
        <f t="shared" si="47"/>
        <v>109.35653256264631</v>
      </c>
      <c r="L266" s="12">
        <f t="shared" si="48"/>
        <v>0.14861896637257382</v>
      </c>
      <c r="M266" s="12">
        <f t="shared" si="53"/>
        <v>77.501721084969859</v>
      </c>
      <c r="N266" s="12">
        <f t="shared" si="54"/>
        <v>141.21134404032276</v>
      </c>
      <c r="O266" s="14">
        <f t="shared" si="55"/>
        <v>8.5113086000874388E-2</v>
      </c>
      <c r="P266" s="15">
        <f t="shared" si="49"/>
        <v>2.5574725396062391E-2</v>
      </c>
    </row>
    <row r="267" spans="1:16" x14ac:dyDescent="0.3">
      <c r="A267">
        <v>265</v>
      </c>
      <c r="B267" s="3">
        <v>45093</v>
      </c>
      <c r="C267">
        <v>75.58</v>
      </c>
      <c r="D267">
        <v>76.739999999999995</v>
      </c>
      <c r="E267">
        <v>75.08</v>
      </c>
      <c r="F267">
        <v>76.61</v>
      </c>
      <c r="G267" s="5">
        <f t="shared" si="50"/>
        <v>5.3617283721081078E-3</v>
      </c>
      <c r="H267" s="5">
        <f t="shared" ca="1" si="51"/>
        <v>-44.874712289740657</v>
      </c>
      <c r="I267">
        <f t="shared" ca="1" si="46"/>
        <v>77.179276495919652</v>
      </c>
      <c r="J267">
        <f t="shared" ca="1" si="52"/>
        <v>2.2656034639559547E-4</v>
      </c>
      <c r="K267" s="12">
        <f t="shared" si="47"/>
        <v>109.32724815474914</v>
      </c>
      <c r="L267" s="12">
        <f t="shared" si="48"/>
        <v>0.14890326745437019</v>
      </c>
      <c r="M267" s="12">
        <f t="shared" si="53"/>
        <v>77.42004658955679</v>
      </c>
      <c r="N267" s="12">
        <f t="shared" si="54"/>
        <v>141.23444971994149</v>
      </c>
      <c r="O267" s="14">
        <f t="shared" si="55"/>
        <v>8.1963671368176672E-2</v>
      </c>
      <c r="P267" s="15">
        <f t="shared" si="49"/>
        <v>2.3852626163504562E-2</v>
      </c>
    </row>
    <row r="268" spans="1:16" x14ac:dyDescent="0.3">
      <c r="A268">
        <v>266</v>
      </c>
      <c r="B268" s="3">
        <v>45097</v>
      </c>
      <c r="C268">
        <v>76.23</v>
      </c>
      <c r="D268">
        <v>77.150000000000006</v>
      </c>
      <c r="E268">
        <v>74.52</v>
      </c>
      <c r="F268">
        <v>75.900000000000006</v>
      </c>
      <c r="G268" s="5">
        <f t="shared" si="50"/>
        <v>-4.0436864441948852E-3</v>
      </c>
      <c r="H268" s="5">
        <f t="shared" ca="1" si="51"/>
        <v>-43.427862317047421</v>
      </c>
      <c r="I268">
        <f t="shared" ca="1" si="46"/>
        <v>78.198583217629903</v>
      </c>
      <c r="J268">
        <f t="shared" ca="1" si="52"/>
        <v>1.3120548143068901E-2</v>
      </c>
      <c r="K268" s="12">
        <f t="shared" si="47"/>
        <v>109.29797158887591</v>
      </c>
      <c r="L268" s="12">
        <f t="shared" si="48"/>
        <v>0.14918705021442066</v>
      </c>
      <c r="M268" s="12">
        <f t="shared" si="53"/>
        <v>77.338521316378561</v>
      </c>
      <c r="N268" s="12">
        <f t="shared" si="54"/>
        <v>141.25742186137325</v>
      </c>
      <c r="O268" s="14">
        <f t="shared" si="55"/>
        <v>8.4228703077664321E-2</v>
      </c>
      <c r="P268" s="15">
        <f t="shared" si="49"/>
        <v>2.508116023847011E-2</v>
      </c>
    </row>
    <row r="269" spans="1:16" x14ac:dyDescent="0.3">
      <c r="A269">
        <v>267</v>
      </c>
      <c r="B269" s="3">
        <v>45098</v>
      </c>
      <c r="C269">
        <v>75.5</v>
      </c>
      <c r="D269">
        <v>77.239999999999995</v>
      </c>
      <c r="E269">
        <v>75.38</v>
      </c>
      <c r="F269">
        <v>77.12</v>
      </c>
      <c r="G269" s="5">
        <f t="shared" si="50"/>
        <v>6.9252449992940265E-3</v>
      </c>
      <c r="H269" s="5">
        <f t="shared" ca="1" si="51"/>
        <v>-41.756545260918237</v>
      </c>
      <c r="I269">
        <f t="shared" ca="1" si="46"/>
        <v>79.393304975882018</v>
      </c>
      <c r="J269">
        <f t="shared" ca="1" si="52"/>
        <v>1.5162514529414193E-2</v>
      </c>
      <c r="K269" s="12">
        <f t="shared" si="47"/>
        <v>109.26870286292663</v>
      </c>
      <c r="L269" s="12">
        <f t="shared" si="48"/>
        <v>0.14947031760690219</v>
      </c>
      <c r="M269" s="12">
        <f t="shared" si="53"/>
        <v>77.257144528951528</v>
      </c>
      <c r="N269" s="12">
        <f t="shared" si="54"/>
        <v>141.28026119690173</v>
      </c>
      <c r="O269" s="14">
        <f t="shared" si="55"/>
        <v>8.0188327262077766E-2</v>
      </c>
      <c r="P269" s="15">
        <f t="shared" si="49"/>
        <v>2.2900395621775687E-2</v>
      </c>
    </row>
    <row r="270" spans="1:16" x14ac:dyDescent="0.3">
      <c r="A270">
        <v>268</v>
      </c>
      <c r="B270" s="3">
        <v>45099</v>
      </c>
      <c r="C270">
        <v>76.959999999999994</v>
      </c>
      <c r="D270">
        <v>77.19</v>
      </c>
      <c r="E270">
        <v>73.58</v>
      </c>
      <c r="F270">
        <v>74.14</v>
      </c>
      <c r="G270" s="5">
        <f t="shared" si="50"/>
        <v>-1.7114439201229535E-2</v>
      </c>
      <c r="H270" s="5">
        <f t="shared" ca="1" si="51"/>
        <v>-42.088332015021464</v>
      </c>
      <c r="I270">
        <f t="shared" ca="1" si="46"/>
        <v>79.150762421407705</v>
      </c>
      <c r="J270">
        <f t="shared" ca="1" si="52"/>
        <v>-3.059625600195398E-3</v>
      </c>
      <c r="K270" s="12">
        <f t="shared" si="47"/>
        <v>109.23944197480182</v>
      </c>
      <c r="L270" s="12">
        <f t="shared" si="48"/>
        <v>0.14975307255830067</v>
      </c>
      <c r="M270" s="12">
        <f t="shared" si="53"/>
        <v>77.175915497451513</v>
      </c>
      <c r="N270" s="12">
        <f t="shared" si="54"/>
        <v>141.30296845215216</v>
      </c>
      <c r="O270" s="14">
        <f t="shared" si="55"/>
        <v>9.0011849362751459E-2</v>
      </c>
      <c r="P270" s="15">
        <f t="shared" si="49"/>
        <v>2.8333942329276246E-2</v>
      </c>
    </row>
    <row r="271" spans="1:16" x14ac:dyDescent="0.3">
      <c r="A271">
        <v>269</v>
      </c>
      <c r="B271" s="3">
        <v>45100</v>
      </c>
      <c r="C271">
        <v>74.150000000000006</v>
      </c>
      <c r="D271">
        <v>74.37</v>
      </c>
      <c r="E271">
        <v>72.099999999999994</v>
      </c>
      <c r="F271">
        <v>73.849999999999994</v>
      </c>
      <c r="G271" s="5">
        <f t="shared" si="50"/>
        <v>-1.7020820455765963E-3</v>
      </c>
      <c r="H271" s="5">
        <f t="shared" ca="1" si="51"/>
        <v>-42.336596407359117</v>
      </c>
      <c r="I271">
        <f t="shared" ca="1" si="46"/>
        <v>78.96893855076857</v>
      </c>
      <c r="J271">
        <f t="shared" ca="1" si="52"/>
        <v>-2.2998266460554657E-3</v>
      </c>
      <c r="K271" s="12">
        <f t="shared" si="47"/>
        <v>109.21018892240262</v>
      </c>
      <c r="L271" s="12">
        <f t="shared" si="48"/>
        <v>0.15003531796777034</v>
      </c>
      <c r="M271" s="12">
        <f t="shared" si="53"/>
        <v>77.094833498628446</v>
      </c>
      <c r="N271" s="12">
        <f t="shared" si="54"/>
        <v>141.3255443461768</v>
      </c>
      <c r="O271" s="14">
        <f t="shared" si="55"/>
        <v>9.0942603528780613E-2</v>
      </c>
      <c r="P271" s="15">
        <f t="shared" si="49"/>
        <v>2.8870311600871976E-2</v>
      </c>
    </row>
    <row r="272" spans="1:16" x14ac:dyDescent="0.3">
      <c r="A272">
        <v>270</v>
      </c>
      <c r="B272" s="3">
        <v>45103</v>
      </c>
      <c r="C272">
        <v>74.45</v>
      </c>
      <c r="D272">
        <v>74.83</v>
      </c>
      <c r="E272">
        <v>73.430000000000007</v>
      </c>
      <c r="F272">
        <v>74.180000000000007</v>
      </c>
      <c r="G272" s="5">
        <f t="shared" si="50"/>
        <v>1.9363293446230645E-3</v>
      </c>
      <c r="H272" s="5">
        <f t="shared" ca="1" si="51"/>
        <v>-42.341107612971371</v>
      </c>
      <c r="I272">
        <f t="shared" ca="1" si="46"/>
        <v>78.962430554792533</v>
      </c>
      <c r="J272">
        <f t="shared" ca="1" si="52"/>
        <v>-8.2415494990953041E-5</v>
      </c>
      <c r="K272" s="12">
        <f t="shared" si="47"/>
        <v>109.18094370363073</v>
      </c>
      <c r="L272" s="12">
        <f t="shared" si="48"/>
        <v>0.15031705670748877</v>
      </c>
      <c r="M272" s="12">
        <f t="shared" si="53"/>
        <v>77.013897815722174</v>
      </c>
      <c r="N272" s="12">
        <f t="shared" si="54"/>
        <v>141.34798959153929</v>
      </c>
      <c r="O272" s="14">
        <f t="shared" si="55"/>
        <v>8.975094739931469E-2</v>
      </c>
      <c r="P272" s="15">
        <f t="shared" si="49"/>
        <v>2.8176984572196431E-2</v>
      </c>
    </row>
    <row r="273" spans="1:16" x14ac:dyDescent="0.3">
      <c r="A273">
        <v>271</v>
      </c>
      <c r="B273" s="3">
        <v>45104</v>
      </c>
      <c r="C273">
        <v>74.23</v>
      </c>
      <c r="D273">
        <v>74.89</v>
      </c>
      <c r="E273">
        <v>72.09</v>
      </c>
      <c r="F273">
        <v>72.260000000000005</v>
      </c>
      <c r="G273" s="5">
        <f t="shared" si="50"/>
        <v>-1.1388871760587907E-2</v>
      </c>
      <c r="H273" s="5">
        <f t="shared" ca="1" si="51"/>
        <v>-42.129853105946978</v>
      </c>
      <c r="I273">
        <f t="shared" ca="1" si="46"/>
        <v>79.111050797837351</v>
      </c>
      <c r="J273">
        <f t="shared" ca="1" si="52"/>
        <v>1.8803949348756581E-3</v>
      </c>
      <c r="K273" s="12">
        <f t="shared" si="47"/>
        <v>109.15170631638838</v>
      </c>
      <c r="L273" s="12">
        <f t="shared" si="48"/>
        <v>0.15059829162300789</v>
      </c>
      <c r="M273" s="12">
        <f t="shared" si="53"/>
        <v>76.933107738379007</v>
      </c>
      <c r="N273" s="12">
        <f t="shared" si="54"/>
        <v>141.37030489439775</v>
      </c>
      <c r="O273" s="14">
        <f t="shared" si="55"/>
        <v>9.6364930246496519E-2</v>
      </c>
      <c r="P273" s="15">
        <f t="shared" si="49"/>
        <v>3.2088478345608989E-2</v>
      </c>
    </row>
    <row r="274" spans="1:16" x14ac:dyDescent="0.3">
      <c r="A274">
        <v>272</v>
      </c>
      <c r="B274" s="3">
        <v>45105</v>
      </c>
      <c r="C274">
        <v>72.56</v>
      </c>
      <c r="D274">
        <v>74.209999999999994</v>
      </c>
      <c r="E274">
        <v>71.58</v>
      </c>
      <c r="F274">
        <v>74.03</v>
      </c>
      <c r="G274" s="5">
        <f t="shared" si="50"/>
        <v>1.0509792150198465E-2</v>
      </c>
      <c r="H274" s="5">
        <f t="shared" ca="1" si="51"/>
        <v>-42.506162952742756</v>
      </c>
      <c r="I274">
        <f t="shared" ca="1" si="46"/>
        <v>78.837432959860124</v>
      </c>
      <c r="J274">
        <f t="shared" ca="1" si="52"/>
        <v>-3.4646500576910322E-3</v>
      </c>
      <c r="K274" s="12">
        <f t="shared" si="47"/>
        <v>109.1224767585784</v>
      </c>
      <c r="L274" s="12">
        <f t="shared" si="48"/>
        <v>0.150879025533598</v>
      </c>
      <c r="M274" s="12">
        <f t="shared" si="53"/>
        <v>76.852462562570267</v>
      </c>
      <c r="N274" s="12">
        <f t="shared" si="54"/>
        <v>141.39249095458655</v>
      </c>
      <c r="O274" s="14">
        <f t="shared" si="55"/>
        <v>9.0138957272638889E-2</v>
      </c>
      <c r="P274" s="15">
        <f t="shared" si="49"/>
        <v>2.8394428829938097E-2</v>
      </c>
    </row>
    <row r="275" spans="1:16" x14ac:dyDescent="0.3">
      <c r="A275">
        <v>273</v>
      </c>
      <c r="B275" s="3">
        <v>45106</v>
      </c>
      <c r="C275">
        <v>73.75</v>
      </c>
      <c r="D275">
        <v>74.97</v>
      </c>
      <c r="E275">
        <v>73.41</v>
      </c>
      <c r="F275">
        <v>74.34</v>
      </c>
      <c r="G275" s="5">
        <f t="shared" si="50"/>
        <v>1.8148073775051884E-3</v>
      </c>
      <c r="H275" s="5">
        <f t="shared" ca="1" si="51"/>
        <v>-41.949894534927061</v>
      </c>
      <c r="I275">
        <f t="shared" ca="1" si="46"/>
        <v>79.234110300116939</v>
      </c>
      <c r="J275">
        <f t="shared" ca="1" si="52"/>
        <v>5.0189700786043758E-3</v>
      </c>
      <c r="K275" s="12">
        <f t="shared" si="47"/>
        <v>109.09325502810412</v>
      </c>
      <c r="L275" s="12">
        <f t="shared" si="48"/>
        <v>0.15115926123258366</v>
      </c>
      <c r="M275" s="12">
        <f t="shared" si="53"/>
        <v>76.771961590512234</v>
      </c>
      <c r="N275" s="12">
        <f t="shared" si="54"/>
        <v>141.41454846569602</v>
      </c>
      <c r="O275" s="14">
        <f t="shared" si="55"/>
        <v>8.9019525058810042E-2</v>
      </c>
      <c r="P275" s="15">
        <f t="shared" si="49"/>
        <v>2.7747344989543243E-2</v>
      </c>
    </row>
    <row r="276" spans="1:16" x14ac:dyDescent="0.3">
      <c r="A276">
        <v>274</v>
      </c>
      <c r="B276" s="3">
        <v>45107</v>
      </c>
      <c r="C276">
        <v>74.25</v>
      </c>
      <c r="D276">
        <v>75.13</v>
      </c>
      <c r="E276">
        <v>74.25</v>
      </c>
      <c r="F276">
        <v>74.900000000000006</v>
      </c>
      <c r="G276" s="5">
        <f t="shared" si="50"/>
        <v>3.2592609397594148E-3</v>
      </c>
      <c r="H276" s="5">
        <f t="shared" ca="1" si="51"/>
        <v>-41.911661871418197</v>
      </c>
      <c r="I276">
        <f t="shared" ca="1" si="46"/>
        <v>79.258393209810166</v>
      </c>
      <c r="J276">
        <f t="shared" ca="1" si="52"/>
        <v>3.0642345026382043E-4</v>
      </c>
      <c r="K276" s="12">
        <f t="shared" si="47"/>
        <v>109.0640411228695</v>
      </c>
      <c r="L276" s="12">
        <f t="shared" si="48"/>
        <v>0.15143900148767936</v>
      </c>
      <c r="M276" s="12">
        <f t="shared" si="53"/>
        <v>76.691604130586725</v>
      </c>
      <c r="N276" s="12">
        <f t="shared" si="54"/>
        <v>141.43647811515225</v>
      </c>
      <c r="O276" s="14">
        <f t="shared" si="55"/>
        <v>8.7063937464861338E-2</v>
      </c>
      <c r="P276" s="15">
        <f t="shared" si="49"/>
        <v>2.6634164195353159E-2</v>
      </c>
    </row>
    <row r="277" spans="1:16" x14ac:dyDescent="0.3">
      <c r="A277">
        <v>275</v>
      </c>
      <c r="B277" s="3">
        <v>45110</v>
      </c>
      <c r="C277">
        <v>75.13</v>
      </c>
      <c r="D277">
        <v>76.58</v>
      </c>
      <c r="E277">
        <v>74.58</v>
      </c>
      <c r="F277">
        <v>74.650000000000006</v>
      </c>
      <c r="G277" s="5">
        <f t="shared" si="50"/>
        <v>-1.4520056384222792E-3</v>
      </c>
      <c r="H277" s="5">
        <f t="shared" ca="1" si="51"/>
        <v>-41.272367254434734</v>
      </c>
      <c r="I277">
        <f t="shared" ca="1" si="46"/>
        <v>79.717375284558145</v>
      </c>
      <c r="J277">
        <f t="shared" ca="1" si="52"/>
        <v>5.7742554651808537E-3</v>
      </c>
      <c r="K277" s="12">
        <f t="shared" si="47"/>
        <v>109.03483504077902</v>
      </c>
      <c r="L277" s="12">
        <f t="shared" si="48"/>
        <v>0.15171824904131437</v>
      </c>
      <c r="M277" s="12">
        <f t="shared" si="53"/>
        <v>76.611389497263758</v>
      </c>
      <c r="N277" s="12">
        <f t="shared" si="54"/>
        <v>141.45828058429427</v>
      </c>
      <c r="O277" s="14">
        <f t="shared" si="55"/>
        <v>8.7844548841142303E-2</v>
      </c>
      <c r="P277" s="15">
        <f t="shared" si="49"/>
        <v>2.7071917204669404E-2</v>
      </c>
    </row>
    <row r="278" spans="1:16" x14ac:dyDescent="0.3">
      <c r="A278">
        <v>276</v>
      </c>
      <c r="B278" s="3">
        <v>45112</v>
      </c>
      <c r="C278">
        <v>74.94</v>
      </c>
      <c r="D278">
        <v>76.94</v>
      </c>
      <c r="E278">
        <v>74.78</v>
      </c>
      <c r="F278">
        <v>76.650000000000006</v>
      </c>
      <c r="G278" s="5">
        <f t="shared" si="50"/>
        <v>1.1482347129349734E-2</v>
      </c>
      <c r="H278" s="5">
        <f t="shared" ca="1" si="51"/>
        <v>-41.97734679708902</v>
      </c>
      <c r="I278">
        <f t="shared" ca="1" si="46"/>
        <v>79.204493076070648</v>
      </c>
      <c r="J278">
        <f t="shared" ca="1" si="52"/>
        <v>-6.4545426552170115E-3</v>
      </c>
      <c r="K278" s="12">
        <f t="shared" si="47"/>
        <v>109.00563677973773</v>
      </c>
      <c r="L278" s="12">
        <f t="shared" si="48"/>
        <v>0.15199700661095758</v>
      </c>
      <c r="M278" s="12">
        <f t="shared" si="53"/>
        <v>76.531317011024512</v>
      </c>
      <c r="N278" s="12">
        <f t="shared" si="54"/>
        <v>141.47995654845093</v>
      </c>
      <c r="O278" s="14">
        <f t="shared" si="55"/>
        <v>8.1154582284971508E-2</v>
      </c>
      <c r="P278" s="15">
        <f t="shared" si="49"/>
        <v>2.3389663904161948E-2</v>
      </c>
    </row>
    <row r="279" spans="1:16" x14ac:dyDescent="0.3">
      <c r="A279">
        <v>277</v>
      </c>
      <c r="B279" s="3">
        <v>45113</v>
      </c>
      <c r="C279">
        <v>76.540000000000006</v>
      </c>
      <c r="D279">
        <v>77.08</v>
      </c>
      <c r="E279">
        <v>75.010000000000005</v>
      </c>
      <c r="F279">
        <v>76.52</v>
      </c>
      <c r="G279" s="5">
        <f t="shared" si="50"/>
        <v>-7.3719783513576023E-4</v>
      </c>
      <c r="H279" s="5">
        <f t="shared" ca="1" si="51"/>
        <v>-41.128582720204051</v>
      </c>
      <c r="I279">
        <f t="shared" ca="1" si="46"/>
        <v>79.815108583315578</v>
      </c>
      <c r="J279">
        <f t="shared" ca="1" si="52"/>
        <v>7.6797891832539131E-3</v>
      </c>
      <c r="K279" s="12">
        <f t="shared" si="47"/>
        <v>108.97644633765125</v>
      </c>
      <c r="L279" s="12">
        <f t="shared" si="48"/>
        <v>0.15227527688942971</v>
      </c>
      <c r="M279" s="12">
        <f t="shared" si="53"/>
        <v>76.45138599828708</v>
      </c>
      <c r="N279" s="12">
        <f t="shared" si="54"/>
        <v>141.50150667701541</v>
      </c>
      <c r="O279" s="14">
        <f t="shared" si="55"/>
        <v>8.1515936610385087E-2</v>
      </c>
      <c r="P279" s="15">
        <f t="shared" si="49"/>
        <v>2.3579961190807609E-2</v>
      </c>
    </row>
    <row r="280" spans="1:16" x14ac:dyDescent="0.3">
      <c r="A280">
        <v>278</v>
      </c>
      <c r="B280" s="3">
        <v>45114</v>
      </c>
      <c r="C280">
        <v>76.48</v>
      </c>
      <c r="D280">
        <v>78.53</v>
      </c>
      <c r="E280">
        <v>76.02</v>
      </c>
      <c r="F280">
        <v>78.47</v>
      </c>
      <c r="G280" s="5">
        <f t="shared" si="50"/>
        <v>1.0928691253971763E-2</v>
      </c>
      <c r="H280" s="5">
        <f t="shared" ca="1" si="51"/>
        <v>-42.122998346347359</v>
      </c>
      <c r="I280">
        <f t="shared" ca="1" si="46"/>
        <v>79.093072205952907</v>
      </c>
      <c r="J280">
        <f t="shared" ca="1" si="52"/>
        <v>-9.0875289462724364E-3</v>
      </c>
      <c r="K280" s="12">
        <f t="shared" si="47"/>
        <v>108.94726371242577</v>
      </c>
      <c r="L280" s="12">
        <f t="shared" si="48"/>
        <v>0.15255306254521678</v>
      </c>
      <c r="M280" s="12">
        <f t="shared" si="53"/>
        <v>76.371595791332012</v>
      </c>
      <c r="N280" s="12">
        <f t="shared" si="54"/>
        <v>141.52293163351953</v>
      </c>
      <c r="O280" s="14">
        <f t="shared" si="55"/>
        <v>7.5216340191628941E-2</v>
      </c>
      <c r="P280" s="15">
        <f t="shared" si="49"/>
        <v>2.0309862392281545E-2</v>
      </c>
    </row>
    <row r="281" spans="1:16" x14ac:dyDescent="0.3">
      <c r="A281">
        <v>279</v>
      </c>
      <c r="B281" s="3">
        <v>45117</v>
      </c>
      <c r="C281">
        <v>78.489999999999995</v>
      </c>
      <c r="D281">
        <v>78.78</v>
      </c>
      <c r="E281">
        <v>77.34</v>
      </c>
      <c r="F281">
        <v>77.69</v>
      </c>
      <c r="G281" s="5">
        <f t="shared" si="50"/>
        <v>-4.3385311611058184E-3</v>
      </c>
      <c r="H281" s="5">
        <f t="shared" ca="1" si="51"/>
        <v>-40.708984510362953</v>
      </c>
      <c r="I281">
        <f t="shared" ca="1" si="46"/>
        <v>80.113720182341993</v>
      </c>
      <c r="J281">
        <f t="shared" ca="1" si="52"/>
        <v>1.2821839368532683E-2</v>
      </c>
      <c r="K281" s="12">
        <f t="shared" si="47"/>
        <v>108.91808890196798</v>
      </c>
      <c r="L281" s="12">
        <f t="shared" si="48"/>
        <v>0.15283036622277954</v>
      </c>
      <c r="M281" s="12">
        <f t="shared" si="53"/>
        <v>76.291945728228839</v>
      </c>
      <c r="N281" s="12">
        <f t="shared" si="54"/>
        <v>141.5442320757071</v>
      </c>
      <c r="O281" s="14">
        <f t="shared" si="55"/>
        <v>7.7622512924149054E-2</v>
      </c>
      <c r="P281" s="15">
        <f t="shared" si="49"/>
        <v>2.1531128257608726E-2</v>
      </c>
    </row>
    <row r="282" spans="1:16" x14ac:dyDescent="0.3">
      <c r="A282">
        <v>280</v>
      </c>
      <c r="B282" s="3">
        <v>45118</v>
      </c>
      <c r="C282">
        <v>77.86</v>
      </c>
      <c r="D282">
        <v>79.5</v>
      </c>
      <c r="E282">
        <v>77.64</v>
      </c>
      <c r="F282">
        <v>79.400000000000006</v>
      </c>
      <c r="G282" s="5">
        <f t="shared" si="50"/>
        <v>9.4553809789721076E-3</v>
      </c>
      <c r="H282" s="5">
        <f t="shared" ca="1" si="51"/>
        <v>-40.902102145847493</v>
      </c>
      <c r="I282">
        <f t="shared" ca="1" si="46"/>
        <v>79.969792399002827</v>
      </c>
      <c r="J282">
        <f t="shared" ca="1" si="52"/>
        <v>-1.7981592207640367E-3</v>
      </c>
      <c r="K282" s="12">
        <f t="shared" si="47"/>
        <v>108.88892190418522</v>
      </c>
      <c r="L282" s="12">
        <f t="shared" si="48"/>
        <v>0.15310719054284985</v>
      </c>
      <c r="M282" s="12">
        <f t="shared" si="53"/>
        <v>76.21243515276565</v>
      </c>
      <c r="N282" s="12">
        <f t="shared" si="54"/>
        <v>141.56540865560481</v>
      </c>
      <c r="O282" s="14">
        <f t="shared" si="55"/>
        <v>7.2197976245465229E-2</v>
      </c>
      <c r="P282" s="15">
        <f t="shared" si="49"/>
        <v>1.8813742201109748E-2</v>
      </c>
    </row>
    <row r="283" spans="1:16" x14ac:dyDescent="0.3">
      <c r="A283">
        <v>281</v>
      </c>
      <c r="B283" s="3">
        <v>45119</v>
      </c>
      <c r="C283">
        <v>79.28</v>
      </c>
      <c r="D283">
        <v>80.569999999999993</v>
      </c>
      <c r="E283">
        <v>79.22</v>
      </c>
      <c r="F283">
        <v>80.11</v>
      </c>
      <c r="G283" s="5">
        <f t="shared" si="50"/>
        <v>3.8662293094061805E-3</v>
      </c>
      <c r="H283" s="5">
        <f t="shared" ca="1" si="51"/>
        <v>-40.962910180393706</v>
      </c>
      <c r="I283">
        <f t="shared" ca="1" si="46"/>
        <v>79.922260884291163</v>
      </c>
      <c r="J283">
        <f t="shared" ca="1" si="52"/>
        <v>-5.9454507132494598E-4</v>
      </c>
      <c r="K283" s="12">
        <f t="shared" si="47"/>
        <v>108.85976271698534</v>
      </c>
      <c r="L283" s="12">
        <f t="shared" si="48"/>
        <v>0.15338353810272931</v>
      </c>
      <c r="M283" s="12">
        <f t="shared" si="53"/>
        <v>76.133063414377958</v>
      </c>
      <c r="N283" s="12">
        <f t="shared" si="54"/>
        <v>141.58646201959274</v>
      </c>
      <c r="O283" s="14">
        <f t="shared" si="55"/>
        <v>6.9959331747231748E-2</v>
      </c>
      <c r="P283" s="15">
        <f t="shared" si="49"/>
        <v>1.7737085962826655E-2</v>
      </c>
    </row>
    <row r="284" spans="1:16" x14ac:dyDescent="0.3">
      <c r="A284">
        <v>282</v>
      </c>
      <c r="B284" s="3">
        <v>45120</v>
      </c>
      <c r="C284">
        <v>80.150000000000006</v>
      </c>
      <c r="D284">
        <v>81.75</v>
      </c>
      <c r="E284">
        <v>79.87</v>
      </c>
      <c r="F284">
        <v>81.36</v>
      </c>
      <c r="G284" s="5">
        <f t="shared" si="50"/>
        <v>6.7242081781857506E-3</v>
      </c>
      <c r="H284" s="5">
        <f t="shared" ca="1" si="51"/>
        <v>-38.575620858552313</v>
      </c>
      <c r="I284">
        <f t="shared" ca="1" si="46"/>
        <v>81.673541786560634</v>
      </c>
      <c r="J284">
        <f t="shared" ca="1" si="52"/>
        <v>2.1675680191661263E-2</v>
      </c>
      <c r="K284" s="12">
        <f t="shared" si="47"/>
        <v>108.83061133827674</v>
      </c>
      <c r="L284" s="12">
        <f t="shared" si="48"/>
        <v>0.15365941147658352</v>
      </c>
      <c r="M284" s="12">
        <f t="shared" si="53"/>
        <v>76.053829868078992</v>
      </c>
      <c r="N284" s="12">
        <f t="shared" si="54"/>
        <v>141.60739280847449</v>
      </c>
      <c r="O284" s="14">
        <f t="shared" si="55"/>
        <v>6.6132435803941389E-2</v>
      </c>
      <c r="P284" s="15">
        <f t="shared" si="49"/>
        <v>1.5961828156079851E-2</v>
      </c>
    </row>
    <row r="285" spans="1:16" x14ac:dyDescent="0.3">
      <c r="A285">
        <v>283</v>
      </c>
      <c r="B285" s="3">
        <v>45121</v>
      </c>
      <c r="C285">
        <v>81.61</v>
      </c>
      <c r="D285">
        <v>81.69</v>
      </c>
      <c r="E285">
        <v>79.569999999999993</v>
      </c>
      <c r="F285">
        <v>79.87</v>
      </c>
      <c r="G285" s="5">
        <f t="shared" si="50"/>
        <v>-8.0272554822166959E-3</v>
      </c>
      <c r="H285" s="5">
        <f t="shared" ca="1" si="51"/>
        <v>-38.965590451586479</v>
      </c>
      <c r="I285">
        <f t="shared" ca="1" si="46"/>
        <v>81.380947983356251</v>
      </c>
      <c r="J285">
        <f t="shared" ca="1" si="52"/>
        <v>-3.588912119806712E-3</v>
      </c>
      <c r="K285" s="12">
        <f t="shared" si="47"/>
        <v>108.80146776596841</v>
      </c>
      <c r="L285" s="12">
        <f t="shared" si="48"/>
        <v>0.15393481321572475</v>
      </c>
      <c r="M285" s="12">
        <f t="shared" si="53"/>
        <v>75.974733874392371</v>
      </c>
      <c r="N285" s="12">
        <f t="shared" si="54"/>
        <v>141.62820165754445</v>
      </c>
      <c r="O285" s="14">
        <f t="shared" si="55"/>
        <v>7.0569922795677503E-2</v>
      </c>
      <c r="P285" s="15">
        <f t="shared" si="49"/>
        <v>1.8023349725839237E-2</v>
      </c>
    </row>
    <row r="286" spans="1:16" x14ac:dyDescent="0.3">
      <c r="A286">
        <v>284</v>
      </c>
      <c r="B286" s="3">
        <v>45124</v>
      </c>
      <c r="C286">
        <v>79.45</v>
      </c>
      <c r="D286">
        <v>80.62</v>
      </c>
      <c r="E286">
        <v>78.260000000000005</v>
      </c>
      <c r="F286">
        <v>78.5</v>
      </c>
      <c r="G286" s="5">
        <f t="shared" si="50"/>
        <v>-7.5140276872189306E-3</v>
      </c>
      <c r="H286" s="5">
        <f t="shared" ca="1" si="51"/>
        <v>-38.744644694141506</v>
      </c>
      <c r="I286">
        <f t="shared" ca="1" si="46"/>
        <v>81.541308706554517</v>
      </c>
      <c r="J286">
        <f t="shared" ca="1" si="52"/>
        <v>1.9685557792077837E-3</v>
      </c>
      <c r="K286" s="12">
        <f t="shared" si="47"/>
        <v>108.77233199796987</v>
      </c>
      <c r="L286" s="12">
        <f t="shared" si="48"/>
        <v>0.15420974584889821</v>
      </c>
      <c r="M286" s="12">
        <f t="shared" si="53"/>
        <v>75.895774799283998</v>
      </c>
      <c r="N286" s="12">
        <f t="shared" si="54"/>
        <v>141.64888919665574</v>
      </c>
      <c r="O286" s="14">
        <f t="shared" si="55"/>
        <v>7.4753839840131148E-2</v>
      </c>
      <c r="P286" s="15">
        <f t="shared" si="49"/>
        <v>2.0064377679560222E-2</v>
      </c>
    </row>
    <row r="287" spans="1:16" x14ac:dyDescent="0.3">
      <c r="A287">
        <v>285</v>
      </c>
      <c r="B287" s="3">
        <v>45125</v>
      </c>
      <c r="C287">
        <v>78.53</v>
      </c>
      <c r="D287">
        <v>80.010000000000005</v>
      </c>
      <c r="E287">
        <v>78.2</v>
      </c>
      <c r="F287">
        <v>79.63</v>
      </c>
      <c r="G287" s="5">
        <f t="shared" si="50"/>
        <v>6.2070589810023008E-3</v>
      </c>
      <c r="H287" s="5">
        <f t="shared" ca="1" si="51"/>
        <v>-39.496576237280301</v>
      </c>
      <c r="I287">
        <f t="shared" ca="1" si="46"/>
        <v>80.982095284091628</v>
      </c>
      <c r="J287">
        <f t="shared" ca="1" si="52"/>
        <v>-6.8816627714204754E-3</v>
      </c>
      <c r="K287" s="12">
        <f t="shared" si="47"/>
        <v>108.74320403219126</v>
      </c>
      <c r="L287" s="12">
        <f t="shared" si="48"/>
        <v>0.15448421188255965</v>
      </c>
      <c r="M287" s="12">
        <f t="shared" si="53"/>
        <v>75.816952014096259</v>
      </c>
      <c r="N287" s="12">
        <f t="shared" si="54"/>
        <v>141.66945605028627</v>
      </c>
      <c r="O287" s="14">
        <f t="shared" si="55"/>
        <v>7.1183560426935716E-2</v>
      </c>
      <c r="P287" s="15">
        <f t="shared" si="49"/>
        <v>1.8312966394130992E-2</v>
      </c>
    </row>
    <row r="288" spans="1:16" x14ac:dyDescent="0.3">
      <c r="A288">
        <v>286</v>
      </c>
      <c r="B288" s="3">
        <v>45126</v>
      </c>
      <c r="C288">
        <v>79.8</v>
      </c>
      <c r="D288">
        <v>80.95</v>
      </c>
      <c r="E288">
        <v>79.180000000000007</v>
      </c>
      <c r="F288">
        <v>79.459999999999994</v>
      </c>
      <c r="G288" s="5">
        <f t="shared" si="50"/>
        <v>-9.2815500691082343E-4</v>
      </c>
      <c r="H288" s="5">
        <f t="shared" ca="1" si="51"/>
        <v>-40.522606977775084</v>
      </c>
      <c r="I288">
        <f t="shared" ca="1" si="46"/>
        <v>80.226425388560301</v>
      </c>
      <c r="J288">
        <f t="shared" ca="1" si="52"/>
        <v>-9.3751301384740297E-3</v>
      </c>
      <c r="K288" s="12">
        <f t="shared" si="47"/>
        <v>108.71408386654318</v>
      </c>
      <c r="L288" s="12">
        <f t="shared" si="48"/>
        <v>0.15475821380114677</v>
      </c>
      <c r="M288" s="12">
        <f t="shared" si="53"/>
        <v>75.738264895483169</v>
      </c>
      <c r="N288" s="12">
        <f t="shared" si="54"/>
        <v>141.6899028376032</v>
      </c>
      <c r="O288" s="14">
        <f t="shared" si="55"/>
        <v>7.1645582089853707E-2</v>
      </c>
      <c r="P288" s="15">
        <f t="shared" si="49"/>
        <v>1.8533350753139742E-2</v>
      </c>
    </row>
    <row r="289" spans="1:16" x14ac:dyDescent="0.3">
      <c r="A289">
        <v>287</v>
      </c>
      <c r="B289" s="3">
        <v>45127</v>
      </c>
      <c r="C289">
        <v>79.5</v>
      </c>
      <c r="D289">
        <v>80.27</v>
      </c>
      <c r="E289">
        <v>78.67</v>
      </c>
      <c r="F289">
        <v>79.64</v>
      </c>
      <c r="G289" s="5">
        <f t="shared" si="50"/>
        <v>9.8269063602793717E-4</v>
      </c>
      <c r="H289" s="5">
        <f t="shared" ca="1" si="51"/>
        <v>-40.076061156054863</v>
      </c>
      <c r="I289">
        <f t="shared" ca="1" si="46"/>
        <v>80.549651496322781</v>
      </c>
      <c r="J289">
        <f t="shared" ca="1" si="52"/>
        <v>4.0208288383838707E-3</v>
      </c>
      <c r="K289" s="12">
        <f t="shared" si="47"/>
        <v>108.68497149893687</v>
      </c>
      <c r="L289" s="12">
        <f t="shared" si="48"/>
        <v>0.15503175406735095</v>
      </c>
      <c r="M289" s="12">
        <f t="shared" si="53"/>
        <v>75.659712825346034</v>
      </c>
      <c r="N289" s="12">
        <f t="shared" si="54"/>
        <v>141.71023017252773</v>
      </c>
      <c r="O289" s="14">
        <f t="shared" si="55"/>
        <v>7.1030469027595189E-2</v>
      </c>
      <c r="P289" s="15">
        <f t="shared" si="49"/>
        <v>1.8235327468672818E-2</v>
      </c>
    </row>
    <row r="290" spans="1:16" x14ac:dyDescent="0.3">
      <c r="A290">
        <v>288</v>
      </c>
      <c r="B290" s="3">
        <v>45128</v>
      </c>
      <c r="C290">
        <v>79.66</v>
      </c>
      <c r="D290">
        <v>81.239999999999995</v>
      </c>
      <c r="E290">
        <v>79.66</v>
      </c>
      <c r="F290">
        <v>81.069999999999993</v>
      </c>
      <c r="G290" s="5">
        <f t="shared" si="50"/>
        <v>7.728921661904543E-3</v>
      </c>
      <c r="H290" s="5">
        <f t="shared" ca="1" si="51"/>
        <v>-42.057709412744856</v>
      </c>
      <c r="I290">
        <f t="shared" ca="1" si="46"/>
        <v>79.107322708035852</v>
      </c>
      <c r="J290">
        <f t="shared" ca="1" si="52"/>
        <v>-1.8068337251088831E-2</v>
      </c>
      <c r="K290" s="12">
        <f t="shared" si="47"/>
        <v>108.65586692728412</v>
      </c>
      <c r="L290" s="12">
        <f t="shared" si="48"/>
        <v>0.15530483512238327</v>
      </c>
      <c r="M290" s="12">
        <f t="shared" si="53"/>
        <v>75.581295190770035</v>
      </c>
      <c r="N290" s="12">
        <f t="shared" si="54"/>
        <v>141.73043866379822</v>
      </c>
      <c r="O290" s="14">
        <f t="shared" si="55"/>
        <v>6.6632962443089944E-2</v>
      </c>
      <c r="P290" s="15">
        <f t="shared" si="49"/>
        <v>1.6178061339485798E-2</v>
      </c>
    </row>
    <row r="291" spans="1:16" x14ac:dyDescent="0.3">
      <c r="A291">
        <v>289</v>
      </c>
      <c r="B291" s="3">
        <v>45131</v>
      </c>
      <c r="C291">
        <v>80.989999999999995</v>
      </c>
      <c r="D291">
        <v>83.16</v>
      </c>
      <c r="E291">
        <v>80.42</v>
      </c>
      <c r="F291">
        <v>82.74</v>
      </c>
      <c r="G291" s="5">
        <f t="shared" si="50"/>
        <v>8.8553435422168911E-3</v>
      </c>
      <c r="H291" s="5">
        <f t="shared" ca="1" si="51"/>
        <v>-42.094074484183295</v>
      </c>
      <c r="I291">
        <f t="shared" ca="1" si="46"/>
        <v>79.077885342970688</v>
      </c>
      <c r="J291">
        <f t="shared" ca="1" si="52"/>
        <v>-3.7218859800700629E-4</v>
      </c>
      <c r="K291" s="12">
        <f t="shared" si="47"/>
        <v>108.62677014949725</v>
      </c>
      <c r="L291" s="12">
        <f t="shared" si="48"/>
        <v>0.1555774593862318</v>
      </c>
      <c r="M291" s="12">
        <f t="shared" si="53"/>
        <v>75.503011383962985</v>
      </c>
      <c r="N291" s="12">
        <f t="shared" si="54"/>
        <v>141.75052891503151</v>
      </c>
      <c r="O291" s="14">
        <f t="shared" si="55"/>
        <v>6.1646969567485201E-2</v>
      </c>
      <c r="P291" s="15">
        <f t="shared" si="49"/>
        <v>1.3976287616732844E-2</v>
      </c>
    </row>
    <row r="292" spans="1:16" x14ac:dyDescent="0.3">
      <c r="A292">
        <v>290</v>
      </c>
      <c r="B292" s="3">
        <v>45132</v>
      </c>
      <c r="C292">
        <v>82.83</v>
      </c>
      <c r="D292">
        <v>83.88</v>
      </c>
      <c r="E292">
        <v>82.24</v>
      </c>
      <c r="F292">
        <v>83.64</v>
      </c>
      <c r="G292" s="5">
        <f t="shared" si="50"/>
        <v>4.6985075861408539E-3</v>
      </c>
      <c r="H292" s="5">
        <f t="shared" ca="1" si="51"/>
        <v>-43.186224553979358</v>
      </c>
      <c r="I292">
        <f t="shared" ca="1" si="46"/>
        <v>78.292878131101432</v>
      </c>
      <c r="J292">
        <f t="shared" ca="1" si="52"/>
        <v>-9.9766145336655301E-3</v>
      </c>
      <c r="K292" s="12">
        <f t="shared" si="47"/>
        <v>108.59768116348914</v>
      </c>
      <c r="L292" s="12">
        <f t="shared" si="48"/>
        <v>0.15584962925792389</v>
      </c>
      <c r="M292" s="12">
        <f t="shared" si="53"/>
        <v>75.424860802193137</v>
      </c>
      <c r="N292" s="12">
        <f t="shared" si="54"/>
        <v>141.77050152478515</v>
      </c>
      <c r="O292" s="14">
        <f t="shared" si="55"/>
        <v>5.899172940417001E-2</v>
      </c>
      <c r="P292" s="15">
        <f t="shared" si="49"/>
        <v>1.2861040573776681E-2</v>
      </c>
    </row>
    <row r="293" spans="1:16" x14ac:dyDescent="0.3">
      <c r="A293">
        <v>291</v>
      </c>
      <c r="B293" s="3">
        <v>45133</v>
      </c>
      <c r="C293">
        <v>83.27</v>
      </c>
      <c r="D293">
        <v>83.86</v>
      </c>
      <c r="E293">
        <v>82.6</v>
      </c>
      <c r="F293">
        <v>82.92</v>
      </c>
      <c r="G293" s="5">
        <f t="shared" si="50"/>
        <v>-3.7547307238109903E-3</v>
      </c>
      <c r="H293" s="5">
        <f t="shared" ca="1" si="51"/>
        <v>-42.829192686952204</v>
      </c>
      <c r="I293">
        <f t="shared" ca="1" si="46"/>
        <v>78.544329101029248</v>
      </c>
      <c r="J293">
        <f t="shared" ca="1" si="52"/>
        <v>3.2065246482361302E-3</v>
      </c>
      <c r="K293" s="12">
        <f t="shared" si="47"/>
        <v>108.56859996717327</v>
      </c>
      <c r="L293" s="12">
        <f t="shared" si="48"/>
        <v>0.15612134711577336</v>
      </c>
      <c r="M293" s="12">
        <f t="shared" si="53"/>
        <v>75.346842847730017</v>
      </c>
      <c r="N293" s="12">
        <f t="shared" si="54"/>
        <v>141.79035708661652</v>
      </c>
      <c r="O293" s="14">
        <f t="shared" si="55"/>
        <v>6.1003506173903599E-2</v>
      </c>
      <c r="P293" s="15">
        <f t="shared" si="49"/>
        <v>1.3699518928106716E-2</v>
      </c>
    </row>
    <row r="294" spans="1:16" x14ac:dyDescent="0.3">
      <c r="A294">
        <v>292</v>
      </c>
      <c r="B294" s="3">
        <v>45134</v>
      </c>
      <c r="C294">
        <v>83.03</v>
      </c>
      <c r="D294">
        <v>84.51</v>
      </c>
      <c r="E294">
        <v>82.99</v>
      </c>
      <c r="F294">
        <v>84.24</v>
      </c>
      <c r="G294" s="5">
        <f t="shared" si="50"/>
        <v>6.8590647556067922E-3</v>
      </c>
      <c r="H294" s="5">
        <f t="shared" ca="1" si="51"/>
        <v>-40.917085577496699</v>
      </c>
      <c r="I294">
        <f t="shared" ca="1" si="46"/>
        <v>79.919201058514204</v>
      </c>
      <c r="J294">
        <f t="shared" ca="1" si="52"/>
        <v>1.7352970196821433E-2</v>
      </c>
      <c r="K294" s="12">
        <f t="shared" si="47"/>
        <v>108.53952655846363</v>
      </c>
      <c r="L294" s="12">
        <f t="shared" si="48"/>
        <v>0.1563926153176361</v>
      </c>
      <c r="M294" s="12">
        <f t="shared" si="53"/>
        <v>75.268956927783989</v>
      </c>
      <c r="N294" s="12">
        <f t="shared" si="54"/>
        <v>141.81009618914328</v>
      </c>
      <c r="O294" s="14">
        <f t="shared" si="55"/>
        <v>5.7163601812312718E-2</v>
      </c>
      <c r="P294" s="15">
        <f t="shared" si="49"/>
        <v>1.2115309075262364E-2</v>
      </c>
    </row>
    <row r="295" spans="1:16" x14ac:dyDescent="0.3">
      <c r="A295">
        <v>293</v>
      </c>
      <c r="B295" s="3">
        <v>45135</v>
      </c>
      <c r="C295">
        <v>84.05</v>
      </c>
      <c r="D295">
        <v>85.1</v>
      </c>
      <c r="E295">
        <v>83.22</v>
      </c>
      <c r="F295">
        <v>84.99</v>
      </c>
      <c r="G295" s="5">
        <f t="shared" si="50"/>
        <v>3.8494710626694869E-3</v>
      </c>
      <c r="H295" s="5">
        <f t="shared" ca="1" si="51"/>
        <v>-42.478726802130829</v>
      </c>
      <c r="I295">
        <f t="shared" ca="1" si="46"/>
        <v>78.788621109760157</v>
      </c>
      <c r="J295">
        <f t="shared" ca="1" si="52"/>
        <v>-1.4247553248558668E-2</v>
      </c>
      <c r="K295" s="12">
        <f t="shared" si="47"/>
        <v>108.51046093527479</v>
      </c>
      <c r="L295" s="12">
        <f t="shared" si="48"/>
        <v>0.15666343620114817</v>
      </c>
      <c r="M295" s="12">
        <f t="shared" si="53"/>
        <v>75.191202454449211</v>
      </c>
      <c r="N295" s="12">
        <f t="shared" si="54"/>
        <v>141.82971941610037</v>
      </c>
      <c r="O295" s="14">
        <f t="shared" si="55"/>
        <v>5.4994064610871578E-2</v>
      </c>
      <c r="P295" s="15">
        <f t="shared" si="49"/>
        <v>1.1258011930678984E-2</v>
      </c>
    </row>
    <row r="296" spans="1:16" x14ac:dyDescent="0.3">
      <c r="A296">
        <v>294</v>
      </c>
      <c r="B296" s="3">
        <v>45138</v>
      </c>
      <c r="C296">
        <v>84.88</v>
      </c>
      <c r="D296">
        <v>85.66</v>
      </c>
      <c r="E296">
        <v>84.52</v>
      </c>
      <c r="F296">
        <v>85.56</v>
      </c>
      <c r="G296" s="5">
        <f t="shared" si="50"/>
        <v>2.9029466593907716E-3</v>
      </c>
      <c r="H296" s="5">
        <f t="shared" ca="1" si="51"/>
        <v>-42.345784468115113</v>
      </c>
      <c r="I296">
        <f t="shared" ca="1" si="46"/>
        <v>78.880699416458882</v>
      </c>
      <c r="J296">
        <f t="shared" ca="1" si="52"/>
        <v>1.1679928201535387E-3</v>
      </c>
      <c r="K296" s="12">
        <f t="shared" si="47"/>
        <v>108.4814030955219</v>
      </c>
      <c r="L296" s="12">
        <f t="shared" si="48"/>
        <v>0.15693381208397461</v>
      </c>
      <c r="M296" s="12">
        <f t="shared" si="53"/>
        <v>75.113578844644778</v>
      </c>
      <c r="N296" s="12">
        <f t="shared" si="54"/>
        <v>141.84922734639903</v>
      </c>
      <c r="O296" s="14">
        <f t="shared" si="55"/>
        <v>5.3348898662959533E-2</v>
      </c>
      <c r="P296" s="15">
        <f t="shared" si="49"/>
        <v>1.0626417812709871E-2</v>
      </c>
    </row>
    <row r="297" spans="1:16" x14ac:dyDescent="0.3">
      <c r="A297">
        <v>295</v>
      </c>
      <c r="B297" s="3">
        <v>45139</v>
      </c>
      <c r="C297">
        <v>85.35</v>
      </c>
      <c r="D297">
        <v>85.79</v>
      </c>
      <c r="E297">
        <v>84.26</v>
      </c>
      <c r="F297">
        <v>84.91</v>
      </c>
      <c r="G297" s="5">
        <f t="shared" si="50"/>
        <v>-3.3119350186606228E-3</v>
      </c>
      <c r="H297" s="5">
        <f t="shared" ca="1" si="51"/>
        <v>-41.638733518481267</v>
      </c>
      <c r="I297">
        <f t="shared" ca="1" si="46"/>
        <v>79.386411094342137</v>
      </c>
      <c r="J297">
        <f t="shared" ca="1" si="52"/>
        <v>6.3906316020123383E-3</v>
      </c>
      <c r="K297" s="12">
        <f t="shared" si="47"/>
        <v>108.45235303712063</v>
      </c>
      <c r="L297" s="12">
        <f t="shared" si="48"/>
        <v>0.15720374526404071</v>
      </c>
      <c r="M297" s="12">
        <f t="shared" si="53"/>
        <v>75.036085520059316</v>
      </c>
      <c r="N297" s="12">
        <f t="shared" si="54"/>
        <v>141.86862055418194</v>
      </c>
      <c r="O297" s="14">
        <f t="shared" si="55"/>
        <v>5.5097151889396095E-2</v>
      </c>
      <c r="P297" s="15">
        <f t="shared" si="49"/>
        <v>1.1295467785249737E-2</v>
      </c>
    </row>
    <row r="298" spans="1:16" x14ac:dyDescent="0.3">
      <c r="A298">
        <v>296</v>
      </c>
      <c r="B298" s="3">
        <v>45140</v>
      </c>
      <c r="C298">
        <v>85.73</v>
      </c>
      <c r="D298">
        <v>85.98</v>
      </c>
      <c r="E298">
        <v>82.75</v>
      </c>
      <c r="F298">
        <v>83.2</v>
      </c>
      <c r="G298" s="5">
        <f t="shared" si="50"/>
        <v>-8.8355145901058123E-3</v>
      </c>
      <c r="H298" s="5">
        <f t="shared" ca="1" si="51"/>
        <v>-42.004907398657224</v>
      </c>
      <c r="I298">
        <f t="shared" ca="1" si="46"/>
        <v>79.119135834946789</v>
      </c>
      <c r="J298">
        <f t="shared" ca="1" si="52"/>
        <v>-3.372443651237502E-3</v>
      </c>
      <c r="K298" s="12">
        <f t="shared" si="47"/>
        <v>108.42331075798721</v>
      </c>
      <c r="L298" s="12">
        <f t="shared" si="48"/>
        <v>0.15747323801977264</v>
      </c>
      <c r="M298" s="12">
        <f t="shared" si="53"/>
        <v>74.958721907093988</v>
      </c>
      <c r="N298" s="12">
        <f t="shared" si="54"/>
        <v>141.88789960888042</v>
      </c>
      <c r="O298" s="14">
        <f t="shared" si="55"/>
        <v>5.9891641684052033E-2</v>
      </c>
      <c r="P298" s="15">
        <f t="shared" si="49"/>
        <v>1.3224847797338575E-2</v>
      </c>
    </row>
    <row r="299" spans="1:16" x14ac:dyDescent="0.3">
      <c r="A299">
        <v>297</v>
      </c>
      <c r="B299" s="3">
        <v>45141</v>
      </c>
      <c r="C299">
        <v>83.44</v>
      </c>
      <c r="D299">
        <v>85.42</v>
      </c>
      <c r="E299">
        <v>82.37</v>
      </c>
      <c r="F299">
        <v>85.14</v>
      </c>
      <c r="G299" s="5">
        <f t="shared" si="50"/>
        <v>1.0010319550393686E-2</v>
      </c>
      <c r="H299" s="5">
        <f t="shared" ca="1" si="51"/>
        <v>-41.034026322428026</v>
      </c>
      <c r="I299">
        <f t="shared" ca="1" si="46"/>
        <v>79.81771296206631</v>
      </c>
      <c r="J299">
        <f t="shared" ca="1" si="52"/>
        <v>8.7906817205709795E-3</v>
      </c>
      <c r="K299" s="12">
        <f t="shared" si="47"/>
        <v>108.39427625603847</v>
      </c>
      <c r="L299" s="12">
        <f t="shared" si="48"/>
        <v>0.15774229261032111</v>
      </c>
      <c r="M299" s="12">
        <f t="shared" si="53"/>
        <v>74.881487436809039</v>
      </c>
      <c r="N299" s="12">
        <f t="shared" si="54"/>
        <v>141.90706507526789</v>
      </c>
      <c r="O299" s="14">
        <f t="shared" si="55"/>
        <v>5.4334426186422355E-2</v>
      </c>
      <c r="P299" s="15">
        <f t="shared" si="49"/>
        <v>1.099828406731938E-2</v>
      </c>
    </row>
    <row r="300" spans="1:16" x14ac:dyDescent="0.3">
      <c r="A300">
        <v>298</v>
      </c>
      <c r="B300" s="3">
        <v>45142</v>
      </c>
      <c r="C300">
        <v>85.32</v>
      </c>
      <c r="D300">
        <v>86.65</v>
      </c>
      <c r="E300">
        <v>85.11</v>
      </c>
      <c r="F300">
        <v>86.24</v>
      </c>
      <c r="G300" s="5">
        <f t="shared" si="50"/>
        <v>5.5751020015458244E-3</v>
      </c>
      <c r="H300" s="5">
        <f t="shared" ca="1" si="51"/>
        <v>-40.457826411029316</v>
      </c>
      <c r="I300">
        <f t="shared" ca="1" si="46"/>
        <v>80.233869019001716</v>
      </c>
      <c r="J300">
        <f t="shared" ca="1" si="52"/>
        <v>5.2002859281410421E-3</v>
      </c>
      <c r="K300" s="12">
        <f t="shared" si="47"/>
        <v>108.36524952919176</v>
      </c>
      <c r="L300" s="12">
        <f t="shared" si="48"/>
        <v>0.15801091127579475</v>
      </c>
      <c r="M300" s="12">
        <f t="shared" si="53"/>
        <v>74.804381544868264</v>
      </c>
      <c r="N300" s="12">
        <f t="shared" si="54"/>
        <v>141.92611751351527</v>
      </c>
      <c r="O300" s="14">
        <f t="shared" si="55"/>
        <v>5.1237712094734982E-2</v>
      </c>
      <c r="P300" s="15">
        <f t="shared" si="49"/>
        <v>9.8369277943673762E-3</v>
      </c>
    </row>
    <row r="301" spans="1:16" x14ac:dyDescent="0.3">
      <c r="A301">
        <v>299</v>
      </c>
      <c r="B301" s="3">
        <v>45145</v>
      </c>
      <c r="C301">
        <v>86.14</v>
      </c>
      <c r="D301">
        <v>86.71</v>
      </c>
      <c r="E301">
        <v>85.04</v>
      </c>
      <c r="F301">
        <v>85.34</v>
      </c>
      <c r="G301" s="5">
        <f t="shared" si="50"/>
        <v>-4.556109319370184E-3</v>
      </c>
      <c r="H301" s="5">
        <f t="shared" ca="1" si="51"/>
        <v>-38.911163965636781</v>
      </c>
      <c r="I301">
        <f t="shared" ca="1" si="46"/>
        <v>81.367364911786979</v>
      </c>
      <c r="J301">
        <f t="shared" ca="1" si="52"/>
        <v>1.4028537461904357E-2</v>
      </c>
      <c r="K301" s="12">
        <f t="shared" si="47"/>
        <v>108.33623057536499</v>
      </c>
      <c r="L301" s="12">
        <f t="shared" si="48"/>
        <v>0.15827909623747968</v>
      </c>
      <c r="M301" s="12">
        <f t="shared" si="53"/>
        <v>74.727403671486769</v>
      </c>
      <c r="N301" s="12">
        <f t="shared" si="54"/>
        <v>141.94505747924322</v>
      </c>
      <c r="O301" s="14">
        <f t="shared" si="55"/>
        <v>5.3657634402588431E-2</v>
      </c>
      <c r="P301" s="15">
        <f t="shared" si="49"/>
        <v>1.0737328687381821E-2</v>
      </c>
    </row>
    <row r="302" spans="1:16" x14ac:dyDescent="0.3">
      <c r="A302">
        <v>300</v>
      </c>
      <c r="B302" s="3">
        <v>45146</v>
      </c>
      <c r="C302">
        <v>85.84</v>
      </c>
      <c r="D302">
        <v>86.35</v>
      </c>
      <c r="E302">
        <v>83.32</v>
      </c>
      <c r="F302">
        <v>86.17</v>
      </c>
      <c r="G302" s="5">
        <f t="shared" si="50"/>
        <v>4.2034544222798549E-3</v>
      </c>
      <c r="H302" s="5">
        <f t="shared" ca="1" si="51"/>
        <v>-39.261250966405719</v>
      </c>
      <c r="I302">
        <f t="shared" ca="1" si="46"/>
        <v>81.105288457081613</v>
      </c>
      <c r="J302">
        <f t="shared" ca="1" si="52"/>
        <v>-3.226102074078569E-3</v>
      </c>
      <c r="K302" s="12">
        <f t="shared" si="47"/>
        <v>108.30721939247664</v>
      </c>
      <c r="L302" s="12">
        <f t="shared" si="48"/>
        <v>0.15854684969806271</v>
      </c>
      <c r="M302" s="12">
        <f t="shared" si="53"/>
        <v>74.650553261377809</v>
      </c>
      <c r="N302" s="12">
        <f t="shared" si="54"/>
        <v>141.96388552357547</v>
      </c>
      <c r="O302" s="14">
        <f t="shared" si="55"/>
        <v>5.130906586443551E-2</v>
      </c>
      <c r="P302" s="15">
        <f t="shared" si="49"/>
        <v>9.8607508119990927E-3</v>
      </c>
    </row>
    <row r="303" spans="1:16" x14ac:dyDescent="0.3">
      <c r="A303">
        <v>301</v>
      </c>
      <c r="B303" s="3">
        <v>45147</v>
      </c>
      <c r="C303">
        <v>86.01</v>
      </c>
      <c r="D303">
        <v>87.66</v>
      </c>
      <c r="E303">
        <v>85.94</v>
      </c>
      <c r="F303">
        <v>87.55</v>
      </c>
      <c r="G303" s="5">
        <f t="shared" si="50"/>
        <v>6.9000574738917794E-3</v>
      </c>
      <c r="H303" s="5">
        <f t="shared" ca="1" si="51"/>
        <v>-39.648167364159868</v>
      </c>
      <c r="I303">
        <f t="shared" ca="1" si="46"/>
        <v>80.816975051786955</v>
      </c>
      <c r="J303">
        <f t="shared" ca="1" si="52"/>
        <v>-3.561137347500009E-3</v>
      </c>
      <c r="K303" s="12">
        <f t="shared" si="47"/>
        <v>108.27821597844576</v>
      </c>
      <c r="L303" s="12">
        <f t="shared" si="48"/>
        <v>0.15881417384184618</v>
      </c>
      <c r="M303" s="12">
        <f t="shared" si="53"/>
        <v>74.573829763701497</v>
      </c>
      <c r="N303" s="12">
        <f t="shared" si="54"/>
        <v>141.98260219319005</v>
      </c>
      <c r="O303" s="14">
        <f t="shared" si="55"/>
        <v>4.7514299884257018E-2</v>
      </c>
      <c r="P303" s="15">
        <f t="shared" si="49"/>
        <v>8.5165103691632552E-3</v>
      </c>
    </row>
    <row r="304" spans="1:16" x14ac:dyDescent="0.3">
      <c r="A304">
        <v>302</v>
      </c>
      <c r="B304" s="3">
        <v>45148</v>
      </c>
      <c r="C304">
        <v>87.37</v>
      </c>
      <c r="D304">
        <v>88.1</v>
      </c>
      <c r="E304">
        <v>86.15</v>
      </c>
      <c r="F304">
        <v>86.4</v>
      </c>
      <c r="G304" s="5">
        <f t="shared" si="50"/>
        <v>-5.7424079405716047E-3</v>
      </c>
      <c r="H304" s="5">
        <f t="shared" ca="1" si="51"/>
        <v>-40.030575336285203</v>
      </c>
      <c r="I304">
        <f t="shared" ca="1" si="46"/>
        <v>80.532989370560145</v>
      </c>
      <c r="J304">
        <f t="shared" ca="1" si="52"/>
        <v>-3.5201244138957956E-3</v>
      </c>
      <c r="K304" s="12">
        <f t="shared" si="47"/>
        <v>108.24922033119192</v>
      </c>
      <c r="L304" s="12">
        <f t="shared" si="48"/>
        <v>0.15908107083496328</v>
      </c>
      <c r="M304" s="12">
        <f t="shared" si="53"/>
        <v>74.497232632013578</v>
      </c>
      <c r="N304" s="12">
        <f t="shared" si="54"/>
        <v>142.00120803037024</v>
      </c>
      <c r="O304" s="14">
        <f t="shared" si="55"/>
        <v>5.0560464606460465E-2</v>
      </c>
      <c r="P304" s="15">
        <f t="shared" si="49"/>
        <v>9.5865706840132549E-3</v>
      </c>
    </row>
    <row r="305" spans="1:16" x14ac:dyDescent="0.3">
      <c r="A305">
        <v>303</v>
      </c>
      <c r="B305" s="3">
        <v>45149</v>
      </c>
      <c r="C305">
        <v>86.39</v>
      </c>
      <c r="D305">
        <v>87.35</v>
      </c>
      <c r="E305">
        <v>85.85</v>
      </c>
      <c r="F305">
        <v>86.81</v>
      </c>
      <c r="G305" s="5">
        <f t="shared" si="50"/>
        <v>2.0560137421678842E-3</v>
      </c>
      <c r="H305" s="5">
        <f t="shared" ca="1" si="51"/>
        <v>-39.452345864203558</v>
      </c>
      <c r="I305">
        <f t="shared" ca="1" si="46"/>
        <v>80.954369389638046</v>
      </c>
      <c r="J305">
        <f t="shared" ca="1" si="52"/>
        <v>5.2187487451839246E-3</v>
      </c>
      <c r="K305" s="12">
        <f t="shared" si="47"/>
        <v>108.22023244863527</v>
      </c>
      <c r="L305" s="12">
        <f t="shared" si="48"/>
        <v>0.15934754282558794</v>
      </c>
      <c r="M305" s="12">
        <f t="shared" si="53"/>
        <v>74.420761324215448</v>
      </c>
      <c r="N305" s="12">
        <f t="shared" si="54"/>
        <v>142.0197035730551</v>
      </c>
      <c r="O305" s="14">
        <f t="shared" si="55"/>
        <v>4.938625803895353E-2</v>
      </c>
      <c r="P305" s="15">
        <f t="shared" si="49"/>
        <v>9.1658998662370889E-3</v>
      </c>
    </row>
    <row r="306" spans="1:16" x14ac:dyDescent="0.3">
      <c r="A306">
        <v>304</v>
      </c>
      <c r="B306" s="3">
        <v>45152</v>
      </c>
      <c r="C306">
        <v>86.64</v>
      </c>
      <c r="D306">
        <v>86.7</v>
      </c>
      <c r="E306">
        <v>85.5</v>
      </c>
      <c r="F306">
        <v>86.21</v>
      </c>
      <c r="G306" s="5">
        <f t="shared" si="50"/>
        <v>-3.01211112804723E-3</v>
      </c>
      <c r="H306" s="5">
        <f t="shared" ca="1" si="51"/>
        <v>-39.978589646079442</v>
      </c>
      <c r="I306">
        <f t="shared" ca="1" si="46"/>
        <v>80.564415994910192</v>
      </c>
      <c r="J306">
        <f t="shared" ca="1" si="52"/>
        <v>-4.8285919369174604E-3</v>
      </c>
      <c r="K306" s="12">
        <f t="shared" si="47"/>
        <v>108.19125232869651</v>
      </c>
      <c r="L306" s="12">
        <f t="shared" si="48"/>
        <v>0.15961359194414154</v>
      </c>
      <c r="M306" s="12">
        <f t="shared" si="53"/>
        <v>74.3444153025048</v>
      </c>
      <c r="N306" s="12">
        <f t="shared" si="54"/>
        <v>142.0380893548882</v>
      </c>
      <c r="O306" s="14">
        <f t="shared" si="55"/>
        <v>5.095921735952004E-2</v>
      </c>
      <c r="P306" s="15">
        <f t="shared" si="49"/>
        <v>9.7287651323798695E-3</v>
      </c>
    </row>
    <row r="307" spans="1:16" x14ac:dyDescent="0.3">
      <c r="A307">
        <v>305</v>
      </c>
      <c r="B307" s="3">
        <v>45153</v>
      </c>
      <c r="C307">
        <v>86.3</v>
      </c>
      <c r="D307">
        <v>86.67</v>
      </c>
      <c r="E307">
        <v>84.29</v>
      </c>
      <c r="F307">
        <v>84.89</v>
      </c>
      <c r="G307" s="5">
        <f t="shared" si="50"/>
        <v>-6.7011115111032258E-3</v>
      </c>
      <c r="H307" s="5">
        <f t="shared" ca="1" si="51"/>
        <v>-38.735839069720988</v>
      </c>
      <c r="I307">
        <f t="shared" ca="1" si="46"/>
        <v>81.477012786936598</v>
      </c>
      <c r="J307">
        <f t="shared" ca="1" si="52"/>
        <v>1.1263865637957176E-2</v>
      </c>
      <c r="K307" s="12">
        <f t="shared" si="47"/>
        <v>108.16227996929692</v>
      </c>
      <c r="L307" s="12">
        <f t="shared" si="48"/>
        <v>0.1598792203034996</v>
      </c>
      <c r="M307" s="12">
        <f t="shared" si="53"/>
        <v>74.268194033326466</v>
      </c>
      <c r="N307" s="12">
        <f t="shared" si="54"/>
        <v>142.05636590526737</v>
      </c>
      <c r="O307" s="14">
        <f t="shared" si="55"/>
        <v>5.4550091124076001E-2</v>
      </c>
      <c r="P307" s="15">
        <f t="shared" si="49"/>
        <v>1.1071101023500354E-2</v>
      </c>
    </row>
    <row r="308" spans="1:16" x14ac:dyDescent="0.3">
      <c r="A308">
        <v>306</v>
      </c>
      <c r="B308" s="3">
        <v>45154</v>
      </c>
      <c r="C308">
        <v>85.12</v>
      </c>
      <c r="D308">
        <v>85.36</v>
      </c>
      <c r="E308">
        <v>83.12</v>
      </c>
      <c r="F308">
        <v>83.45</v>
      </c>
      <c r="G308" s="5">
        <f t="shared" si="50"/>
        <v>-7.4301925666451479E-3</v>
      </c>
      <c r="H308" s="5">
        <f t="shared" ca="1" si="51"/>
        <v>-39.317457144016544</v>
      </c>
      <c r="I308">
        <f t="shared" ca="1" si="46"/>
        <v>81.043706820811607</v>
      </c>
      <c r="J308">
        <f t="shared" ca="1" si="52"/>
        <v>-5.3323292424403805E-3</v>
      </c>
      <c r="K308" s="12">
        <f t="shared" si="47"/>
        <v>108.1333153683583</v>
      </c>
      <c r="L308" s="12">
        <f t="shared" si="48"/>
        <v>0.16014442999919096</v>
      </c>
      <c r="M308" s="12">
        <f t="shared" si="53"/>
        <v>74.192096987324845</v>
      </c>
      <c r="N308" s="12">
        <f t="shared" si="54"/>
        <v>142.07453374939175</v>
      </c>
      <c r="O308" s="14">
        <f t="shared" si="55"/>
        <v>5.8567521038683512E-2</v>
      </c>
      <c r="P308" s="15">
        <f t="shared" si="49"/>
        <v>1.2663716072387326E-2</v>
      </c>
    </row>
    <row r="309" spans="1:16" x14ac:dyDescent="0.3">
      <c r="A309">
        <v>307</v>
      </c>
      <c r="B309" s="3">
        <v>45155</v>
      </c>
      <c r="C309">
        <v>83.35</v>
      </c>
      <c r="D309">
        <v>84.89</v>
      </c>
      <c r="E309">
        <v>83.05</v>
      </c>
      <c r="F309">
        <v>84.12</v>
      </c>
      <c r="G309" s="5">
        <f t="shared" si="50"/>
        <v>3.4729229990179645E-3</v>
      </c>
      <c r="H309" s="5">
        <f t="shared" ca="1" si="51"/>
        <v>-39.587706024156567</v>
      </c>
      <c r="I309">
        <f t="shared" ca="1" si="46"/>
        <v>80.841365278229702</v>
      </c>
      <c r="J309">
        <f t="shared" ca="1" si="52"/>
        <v>-2.4998184864014473E-3</v>
      </c>
      <c r="K309" s="12">
        <f t="shared" si="47"/>
        <v>108.10435852380303</v>
      </c>
      <c r="L309" s="12">
        <f t="shared" si="48"/>
        <v>0.16040922310959763</v>
      </c>
      <c r="M309" s="12">
        <f t="shared" si="53"/>
        <v>74.116123639296319</v>
      </c>
      <c r="N309" s="12">
        <f t="shared" si="54"/>
        <v>142.09259340830974</v>
      </c>
      <c r="O309" s="14">
        <f t="shared" si="55"/>
        <v>5.6597216333472332E-2</v>
      </c>
      <c r="P309" s="15">
        <f t="shared" si="49"/>
        <v>1.186878207700791E-2</v>
      </c>
    </row>
    <row r="310" spans="1:16" x14ac:dyDescent="0.3">
      <c r="A310">
        <v>308</v>
      </c>
      <c r="B310" s="3">
        <v>45156</v>
      </c>
      <c r="C310">
        <v>83.83</v>
      </c>
      <c r="D310">
        <v>85.07</v>
      </c>
      <c r="E310">
        <v>83.32</v>
      </c>
      <c r="F310">
        <v>84.8</v>
      </c>
      <c r="G310" s="5">
        <f t="shared" si="50"/>
        <v>3.4965882424302683E-3</v>
      </c>
      <c r="H310" s="5">
        <f t="shared" ca="1" si="51"/>
        <v>-40.226231240866326</v>
      </c>
      <c r="I310">
        <f t="shared" ca="1" si="46"/>
        <v>80.369823025757853</v>
      </c>
      <c r="J310">
        <f t="shared" ca="1" si="52"/>
        <v>-5.8500108114884625E-3</v>
      </c>
      <c r="K310" s="12">
        <f t="shared" si="47"/>
        <v>108.07540943355404</v>
      </c>
      <c r="L310" s="12">
        <f t="shared" si="48"/>
        <v>0.16067360169614905</v>
      </c>
      <c r="M310" s="12">
        <f t="shared" si="53"/>
        <v>74.040273468142857</v>
      </c>
      <c r="N310" s="12">
        <f t="shared" si="54"/>
        <v>142.11054539896523</v>
      </c>
      <c r="O310" s="14">
        <f t="shared" si="55"/>
        <v>5.4621066060035112E-2</v>
      </c>
      <c r="P310" s="15">
        <f t="shared" si="49"/>
        <v>1.1094627405214077E-2</v>
      </c>
    </row>
    <row r="311" spans="1:16" x14ac:dyDescent="0.3">
      <c r="A311">
        <v>309</v>
      </c>
      <c r="B311" s="3">
        <v>45159</v>
      </c>
      <c r="C311">
        <v>85.06</v>
      </c>
      <c r="D311">
        <v>85.87</v>
      </c>
      <c r="E311">
        <v>84.31</v>
      </c>
      <c r="F311">
        <v>84.46</v>
      </c>
      <c r="G311" s="5">
        <f t="shared" si="50"/>
        <v>-1.7447751678249372E-3</v>
      </c>
      <c r="H311" s="5">
        <f t="shared" ca="1" si="51"/>
        <v>-38.419828652004448</v>
      </c>
      <c r="I311">
        <f t="shared" ca="1" si="46"/>
        <v>81.698051442358718</v>
      </c>
      <c r="J311">
        <f t="shared" ca="1" si="52"/>
        <v>1.6391381198412425E-2</v>
      </c>
      <c r="K311" s="12">
        <f t="shared" si="47"/>
        <v>108.04646809553483</v>
      </c>
      <c r="L311" s="12">
        <f t="shared" si="48"/>
        <v>0.16093756780351742</v>
      </c>
      <c r="M311" s="12">
        <f t="shared" si="53"/>
        <v>73.964545956825631</v>
      </c>
      <c r="N311" s="12">
        <f t="shared" si="54"/>
        <v>142.12839023424402</v>
      </c>
      <c r="O311" s="14">
        <f t="shared" si="55"/>
        <v>5.5515759489950231E-2</v>
      </c>
      <c r="P311" s="15">
        <f t="shared" si="49"/>
        <v>1.1440334173204999E-2</v>
      </c>
    </row>
    <row r="312" spans="1:16" x14ac:dyDescent="0.3">
      <c r="A312">
        <v>310</v>
      </c>
      <c r="B312" s="3">
        <v>45160</v>
      </c>
      <c r="C312">
        <v>84.39</v>
      </c>
      <c r="D312">
        <v>84.65</v>
      </c>
      <c r="E312">
        <v>83.84</v>
      </c>
      <c r="F312">
        <v>84.03</v>
      </c>
      <c r="G312" s="5">
        <f t="shared" si="50"/>
        <v>-2.2167135456582316E-3</v>
      </c>
      <c r="H312" s="5">
        <f t="shared" ca="1" si="51"/>
        <v>-38.919906999056238</v>
      </c>
      <c r="I312">
        <f t="shared" ca="1" si="46"/>
        <v>81.32387063513292</v>
      </c>
      <c r="J312">
        <f t="shared" ca="1" si="52"/>
        <v>-4.5905662202864305E-3</v>
      </c>
      <c r="K312" s="12">
        <f t="shared" si="47"/>
        <v>108.01753450766942</v>
      </c>
      <c r="L312" s="12">
        <f t="shared" si="48"/>
        <v>0.1612011234598035</v>
      </c>
      <c r="M312" s="12">
        <f t="shared" si="53"/>
        <v>73.888940592320381</v>
      </c>
      <c r="N312" s="12">
        <f t="shared" si="54"/>
        <v>142.14612842301847</v>
      </c>
      <c r="O312" s="14">
        <f t="shared" si="55"/>
        <v>5.6671143917043539E-2</v>
      </c>
      <c r="P312" s="15">
        <f t="shared" si="49"/>
        <v>1.1894061084630914E-2</v>
      </c>
    </row>
    <row r="313" spans="1:16" x14ac:dyDescent="0.3">
      <c r="A313">
        <v>311</v>
      </c>
      <c r="B313" s="3">
        <v>45161</v>
      </c>
      <c r="C313">
        <v>83.98</v>
      </c>
      <c r="D313">
        <v>84.24</v>
      </c>
      <c r="E313">
        <v>81.97</v>
      </c>
      <c r="F313">
        <v>83.21</v>
      </c>
      <c r="G313" s="5">
        <f t="shared" si="50"/>
        <v>-4.2588415332078869E-3</v>
      </c>
      <c r="H313" s="5">
        <f t="shared" ca="1" si="51"/>
        <v>-38.148632743888847</v>
      </c>
      <c r="I313">
        <f t="shared" ca="1" si="46"/>
        <v>81.8930766555589</v>
      </c>
      <c r="J313">
        <f t="shared" ca="1" si="52"/>
        <v>6.9748679591303845E-3</v>
      </c>
      <c r="K313" s="12">
        <f t="shared" si="47"/>
        <v>107.98860866788243</v>
      </c>
      <c r="L313" s="12">
        <f t="shared" si="48"/>
        <v>0.1614642706767265</v>
      </c>
      <c r="M313" s="12">
        <f t="shared" si="53"/>
        <v>73.813456865572476</v>
      </c>
      <c r="N313" s="12">
        <f t="shared" si="54"/>
        <v>142.16376047019239</v>
      </c>
      <c r="O313" s="14">
        <f t="shared" si="55"/>
        <v>5.8954206229467482E-2</v>
      </c>
      <c r="P313" s="15">
        <f t="shared" si="49"/>
        <v>1.2814788736389027E-2</v>
      </c>
    </row>
    <row r="314" spans="1:16" x14ac:dyDescent="0.3">
      <c r="A314">
        <v>312</v>
      </c>
      <c r="B314" s="3">
        <v>45162</v>
      </c>
      <c r="C314">
        <v>82.99</v>
      </c>
      <c r="D314">
        <v>83.61</v>
      </c>
      <c r="E314">
        <v>81.97</v>
      </c>
      <c r="F314">
        <v>83.36</v>
      </c>
      <c r="G314" s="5">
        <f t="shared" si="50"/>
        <v>7.8218394542647256E-4</v>
      </c>
      <c r="H314" s="5">
        <f t="shared" ca="1" si="51"/>
        <v>-39.131983588394355</v>
      </c>
      <c r="I314">
        <f t="shared" ca="1" si="46"/>
        <v>81.160411080846558</v>
      </c>
      <c r="J314">
        <f t="shared" ca="1" si="52"/>
        <v>-8.9868731537581688E-3</v>
      </c>
      <c r="K314" s="12">
        <f t="shared" si="47"/>
        <v>107.959690574099</v>
      </c>
      <c r="L314" s="12">
        <f t="shared" si="48"/>
        <v>0.16172701144980911</v>
      </c>
      <c r="M314" s="12">
        <f t="shared" si="53"/>
        <v>73.738094271452496</v>
      </c>
      <c r="N314" s="12">
        <f t="shared" si="54"/>
        <v>142.1812868767455</v>
      </c>
      <c r="O314" s="14">
        <f t="shared" si="55"/>
        <v>5.8462466321169568E-2</v>
      </c>
      <c r="P314" s="15">
        <f t="shared" si="49"/>
        <v>1.2612171612814194E-2</v>
      </c>
    </row>
    <row r="315" spans="1:16" x14ac:dyDescent="0.3">
      <c r="A315">
        <v>313</v>
      </c>
      <c r="B315" s="3">
        <v>45163</v>
      </c>
      <c r="C315">
        <v>83.2</v>
      </c>
      <c r="D315">
        <v>84.97</v>
      </c>
      <c r="E315">
        <v>82.69</v>
      </c>
      <c r="F315">
        <v>84.48</v>
      </c>
      <c r="G315" s="5">
        <f t="shared" si="50"/>
        <v>5.7961992342878497E-3</v>
      </c>
      <c r="H315" s="5">
        <f t="shared" ca="1" si="51"/>
        <v>-40.128282283199837</v>
      </c>
      <c r="I315">
        <f t="shared" ca="1" si="46"/>
        <v>80.424826905836994</v>
      </c>
      <c r="J315">
        <f t="shared" ca="1" si="52"/>
        <v>-9.1046591323668512E-3</v>
      </c>
      <c r="K315" s="12">
        <f t="shared" si="47"/>
        <v>107.93078022424484</v>
      </c>
      <c r="L315" s="12">
        <f t="shared" si="48"/>
        <v>0.16198934775855725</v>
      </c>
      <c r="M315" s="12">
        <f t="shared" si="53"/>
        <v>73.662852308713525</v>
      </c>
      <c r="N315" s="12">
        <f t="shared" si="54"/>
        <v>142.19870813977616</v>
      </c>
      <c r="O315" s="14">
        <f t="shared" si="55"/>
        <v>5.521795548504712E-2</v>
      </c>
      <c r="P315" s="15">
        <f t="shared" si="49"/>
        <v>1.1319132412748947E-2</v>
      </c>
    </row>
    <row r="316" spans="1:16" x14ac:dyDescent="0.3">
      <c r="A316">
        <v>314</v>
      </c>
      <c r="B316" s="3">
        <v>45166</v>
      </c>
      <c r="C316">
        <v>84.87</v>
      </c>
      <c r="D316">
        <v>85.22</v>
      </c>
      <c r="E316">
        <v>84.11</v>
      </c>
      <c r="F316">
        <v>84.42</v>
      </c>
      <c r="G316" s="5">
        <f t="shared" si="50"/>
        <v>-3.0855737134771386E-4</v>
      </c>
      <c r="H316" s="5">
        <f t="shared" ca="1" si="51"/>
        <v>-39.753682585307715</v>
      </c>
      <c r="I316">
        <f t="shared" ca="1" si="46"/>
        <v>80.696020294836345</v>
      </c>
      <c r="J316">
        <f t="shared" ca="1" si="52"/>
        <v>3.366338370400727E-3</v>
      </c>
      <c r="K316" s="12">
        <f t="shared" si="47"/>
        <v>107.90187761624622</v>
      </c>
      <c r="L316" s="12">
        <f t="shared" si="48"/>
        <v>0.16225128156663929</v>
      </c>
      <c r="M316" s="12">
        <f t="shared" si="53"/>
        <v>73.587730479948291</v>
      </c>
      <c r="N316" s="12">
        <f t="shared" si="54"/>
        <v>142.21602475254414</v>
      </c>
      <c r="O316" s="14">
        <f t="shared" si="55"/>
        <v>5.5326591160419214E-2</v>
      </c>
      <c r="P316" s="15">
        <f t="shared" si="49"/>
        <v>1.1360075332316324E-2</v>
      </c>
    </row>
    <row r="317" spans="1:16" x14ac:dyDescent="0.3">
      <c r="A317">
        <v>315</v>
      </c>
      <c r="B317" s="3">
        <v>45167</v>
      </c>
      <c r="C317">
        <v>84.38</v>
      </c>
      <c r="D317">
        <v>85.65</v>
      </c>
      <c r="E317">
        <v>83.78</v>
      </c>
      <c r="F317">
        <v>85.49</v>
      </c>
      <c r="G317" s="5">
        <f t="shared" si="50"/>
        <v>5.4699692628567397E-3</v>
      </c>
      <c r="H317" s="5">
        <f t="shared" ca="1" si="51"/>
        <v>-38.711598971180308</v>
      </c>
      <c r="I317">
        <f t="shared" ca="1" si="46"/>
        <v>81.461267922741087</v>
      </c>
      <c r="J317">
        <f t="shared" ca="1" si="52"/>
        <v>9.438407822701526E-3</v>
      </c>
      <c r="K317" s="12">
        <f t="shared" si="47"/>
        <v>107.87298274802997</v>
      </c>
      <c r="L317" s="12">
        <f t="shared" si="48"/>
        <v>0.1625128148220652</v>
      </c>
      <c r="M317" s="12">
        <f t="shared" si="53"/>
        <v>73.512728291546495</v>
      </c>
      <c r="N317" s="12">
        <f t="shared" si="54"/>
        <v>142.23323720451344</v>
      </c>
      <c r="O317" s="14">
        <f t="shared" si="55"/>
        <v>5.2278363036250768E-2</v>
      </c>
      <c r="P317" s="15">
        <f t="shared" si="49"/>
        <v>1.0200468807852026E-2</v>
      </c>
    </row>
    <row r="318" spans="1:16" x14ac:dyDescent="0.3">
      <c r="A318">
        <v>316</v>
      </c>
      <c r="B318" s="3">
        <v>45168</v>
      </c>
      <c r="C318">
        <v>85.63</v>
      </c>
      <c r="D318">
        <v>86.21</v>
      </c>
      <c r="E318">
        <v>85.13</v>
      </c>
      <c r="F318">
        <v>85.86</v>
      </c>
      <c r="G318" s="5">
        <f t="shared" si="50"/>
        <v>1.8755670621738987E-3</v>
      </c>
      <c r="H318" s="5">
        <f t="shared" ca="1" si="51"/>
        <v>-38.388662556925773</v>
      </c>
      <c r="I318">
        <f t="shared" ca="1" si="46"/>
        <v>81.697551090805433</v>
      </c>
      <c r="J318">
        <f t="shared" ca="1" si="52"/>
        <v>2.8963599353384667E-3</v>
      </c>
      <c r="K318" s="12">
        <f t="shared" si="47"/>
        <v>107.84409561752346</v>
      </c>
      <c r="L318" s="12">
        <f t="shared" si="48"/>
        <v>0.1627739494573559</v>
      </c>
      <c r="M318" s="12">
        <f t="shared" si="53"/>
        <v>73.43784525365426</v>
      </c>
      <c r="N318" s="12">
        <f t="shared" si="54"/>
        <v>142.25034598139266</v>
      </c>
      <c r="O318" s="14">
        <f t="shared" si="55"/>
        <v>5.1197618865719108E-2</v>
      </c>
      <c r="P318" s="15">
        <f t="shared" si="49"/>
        <v>9.8020867832959106E-3</v>
      </c>
    </row>
    <row r="319" spans="1:16" x14ac:dyDescent="0.3">
      <c r="A319">
        <v>317</v>
      </c>
      <c r="B319" s="3">
        <v>45169</v>
      </c>
      <c r="C319">
        <v>85.85</v>
      </c>
      <c r="D319">
        <v>86.9</v>
      </c>
      <c r="E319">
        <v>85.85</v>
      </c>
      <c r="F319">
        <v>86.86</v>
      </c>
      <c r="G319" s="5">
        <f t="shared" si="50"/>
        <v>5.0289408827903087E-3</v>
      </c>
      <c r="H319" s="5">
        <f t="shared" ca="1" si="51"/>
        <v>-37.710132900394782</v>
      </c>
      <c r="I319">
        <f t="shared" ca="1" si="46"/>
        <v>82.199991755378022</v>
      </c>
      <c r="J319">
        <f t="shared" ca="1" si="52"/>
        <v>6.1311747546223651E-3</v>
      </c>
      <c r="K319" s="12">
        <f t="shared" si="47"/>
        <v>107.81521622265461</v>
      </c>
      <c r="L319" s="12">
        <f t="shared" si="48"/>
        <v>0.16303468738972174</v>
      </c>
      <c r="M319" s="12">
        <f t="shared" si="53"/>
        <v>73.363080880131747</v>
      </c>
      <c r="N319" s="12">
        <f t="shared" si="54"/>
        <v>142.26735156517751</v>
      </c>
      <c r="O319" s="14">
        <f t="shared" si="55"/>
        <v>4.8411013736772271E-2</v>
      </c>
      <c r="P319" s="15">
        <f t="shared" si="49"/>
        <v>8.8097433730676949E-3</v>
      </c>
    </row>
    <row r="320" spans="1:16" x14ac:dyDescent="0.3">
      <c r="A320">
        <v>318</v>
      </c>
      <c r="B320" s="3">
        <v>45170</v>
      </c>
      <c r="C320">
        <v>86.82</v>
      </c>
      <c r="D320">
        <v>88.96</v>
      </c>
      <c r="E320">
        <v>86.74</v>
      </c>
      <c r="F320">
        <v>88.55</v>
      </c>
      <c r="G320" s="5">
        <f t="shared" si="50"/>
        <v>8.3687404998832472E-3</v>
      </c>
      <c r="H320" s="5">
        <f t="shared" ca="1" si="51"/>
        <v>-37.458818382100475</v>
      </c>
      <c r="I320">
        <f t="shared" ca="1" si="46"/>
        <v>82.384723121455849</v>
      </c>
      <c r="J320">
        <f t="shared" ca="1" si="52"/>
        <v>2.2448189528547933E-3</v>
      </c>
      <c r="K320" s="12">
        <f t="shared" si="47"/>
        <v>107.78634456135192</v>
      </c>
      <c r="L320" s="12">
        <f t="shared" si="48"/>
        <v>0.16329503052122402</v>
      </c>
      <c r="M320" s="12">
        <f t="shared" si="53"/>
        <v>73.288434688514343</v>
      </c>
      <c r="N320" s="12">
        <f t="shared" si="54"/>
        <v>142.28425443418951</v>
      </c>
      <c r="O320" s="14">
        <f t="shared" si="55"/>
        <v>4.3845357150812989E-2</v>
      </c>
      <c r="P320" s="15">
        <f t="shared" si="49"/>
        <v>7.2889210348333561E-3</v>
      </c>
    </row>
    <row r="321" spans="1:16" x14ac:dyDescent="0.3">
      <c r="A321">
        <v>319</v>
      </c>
      <c r="B321" s="3">
        <v>45174</v>
      </c>
      <c r="C321">
        <v>88.7</v>
      </c>
      <c r="D321">
        <v>91.18</v>
      </c>
      <c r="E321">
        <v>88.07</v>
      </c>
      <c r="F321">
        <v>90.04</v>
      </c>
      <c r="G321" s="5">
        <f t="shared" si="50"/>
        <v>7.2469208023888329E-3</v>
      </c>
      <c r="H321" s="5">
        <f t="shared" ca="1" si="51"/>
        <v>-36.446472374703106</v>
      </c>
      <c r="I321">
        <f t="shared" ca="1" si="46"/>
        <v>83.143489718352541</v>
      </c>
      <c r="J321">
        <f t="shared" ca="1" si="52"/>
        <v>9.167886228071246E-3</v>
      </c>
      <c r="K321" s="12">
        <f t="shared" si="47"/>
        <v>107.75748063154442</v>
      </c>
      <c r="L321" s="12">
        <f t="shared" si="48"/>
        <v>0.16355498073894725</v>
      </c>
      <c r="M321" s="12">
        <f t="shared" si="53"/>
        <v>73.21390619997176</v>
      </c>
      <c r="N321" s="12">
        <f t="shared" si="54"/>
        <v>142.30105506311708</v>
      </c>
      <c r="O321" s="14">
        <f t="shared" si="55"/>
        <v>3.9915332714571129E-2</v>
      </c>
      <c r="P321" s="15">
        <f t="shared" si="49"/>
        <v>6.0858632047589229E-3</v>
      </c>
    </row>
    <row r="322" spans="1:16" x14ac:dyDescent="0.3">
      <c r="A322">
        <v>320</v>
      </c>
      <c r="B322" s="3">
        <v>45175</v>
      </c>
      <c r="C322">
        <v>89.98</v>
      </c>
      <c r="D322">
        <v>91.11</v>
      </c>
      <c r="E322">
        <v>89.25</v>
      </c>
      <c r="F322">
        <v>90.6</v>
      </c>
      <c r="G322" s="5">
        <f t="shared" si="50"/>
        <v>2.6927113483306651E-3</v>
      </c>
      <c r="H322" s="5">
        <f t="shared" ca="1" si="51"/>
        <v>-39.401802545464761</v>
      </c>
      <c r="I322">
        <f t="shared" ref="I322:I385" ca="1" si="56">F$2*EXP((Mu-(0.5*(sigma^2))*A322)+sigma*H322)</f>
        <v>80.934649408568376</v>
      </c>
      <c r="J322">
        <f t="shared" ca="1" si="52"/>
        <v>-2.6925875332363618E-2</v>
      </c>
      <c r="K322" s="12">
        <f t="shared" ref="K322:K385" si="57">($I$2*EXP(Mu*A322))</f>
        <v>107.72862443116173</v>
      </c>
      <c r="L322" s="12">
        <f t="shared" ref="L322:L385" si="58">SQRT(EXP((sigma^2)*A322)-1)</f>
        <v>0.16381453991516079</v>
      </c>
      <c r="M322" s="12">
        <f t="shared" si="53"/>
        <v>73.139494939269284</v>
      </c>
      <c r="N322" s="12">
        <f t="shared" si="54"/>
        <v>142.3177539230542</v>
      </c>
      <c r="O322" s="14">
        <f t="shared" si="55"/>
        <v>3.8425135798353841E-2</v>
      </c>
      <c r="P322" s="15">
        <f t="shared" ref="P322:P385" si="59">(LOG10(F322)-LOG10(K322))^2</f>
        <v>5.6554786907936144E-3</v>
      </c>
    </row>
    <row r="323" spans="1:16" x14ac:dyDescent="0.3">
      <c r="A323">
        <v>321</v>
      </c>
      <c r="B323" s="3">
        <v>45176</v>
      </c>
      <c r="C323">
        <v>90.61</v>
      </c>
      <c r="D323">
        <v>90.86</v>
      </c>
      <c r="E323">
        <v>89.47</v>
      </c>
      <c r="F323">
        <v>89.92</v>
      </c>
      <c r="G323" s="5">
        <f t="shared" ref="G323:G386" si="60">IFERROR(LOG10(F323/F322),0)</f>
        <v>-3.271899451827149E-3</v>
      </c>
      <c r="H323" s="5">
        <f t="shared" ref="H323:H386" ca="1" si="61">H322+(SQRT(DeltaT)*_xlfn.NORM.S.INV(RAND()))</f>
        <v>-39.723064067308634</v>
      </c>
      <c r="I323">
        <f t="shared" ca="1" si="56"/>
        <v>80.695124113899055</v>
      </c>
      <c r="J323">
        <f t="shared" ref="J323:J386" ca="1" si="62">IFERROR(LN(I323/I322),0)</f>
        <v>-2.9638780627252934E-3</v>
      </c>
      <c r="K323" s="12">
        <f t="shared" si="57"/>
        <v>107.69977595813398</v>
      </c>
      <c r="L323" s="12">
        <f t="shared" si="58"/>
        <v>0.16407370990748238</v>
      </c>
      <c r="M323" s="12">
        <f t="shared" ref="M323:M386" si="63">(1-1.96*L323)*K323</f>
        <v>73.065200434728766</v>
      </c>
      <c r="N323" s="12">
        <f t="shared" ref="N323:N386" si="64">(1+1.96*L323)*K323</f>
        <v>142.33435148153922</v>
      </c>
      <c r="O323" s="14">
        <f t="shared" ref="O323:O386" si="65">ABS((LOG10(F323)-LOG10(K323))/LOG10(F323))</f>
        <v>4.0104536708465352E-2</v>
      </c>
      <c r="P323" s="15">
        <f t="shared" si="59"/>
        <v>6.1400547785183694E-3</v>
      </c>
    </row>
    <row r="324" spans="1:16" x14ac:dyDescent="0.3">
      <c r="A324">
        <v>322</v>
      </c>
      <c r="B324" s="3">
        <v>45177</v>
      </c>
      <c r="C324">
        <v>89.8</v>
      </c>
      <c r="D324">
        <v>91.02</v>
      </c>
      <c r="E324">
        <v>89.3</v>
      </c>
      <c r="F324">
        <v>90.65</v>
      </c>
      <c r="G324" s="5">
        <f t="shared" si="60"/>
        <v>3.5115102065416022E-3</v>
      </c>
      <c r="H324" s="5">
        <f t="shared" ca="1" si="61"/>
        <v>-37.529031797627098</v>
      </c>
      <c r="I324">
        <f t="shared" ca="1" si="56"/>
        <v>82.318492899126895</v>
      </c>
      <c r="J324">
        <f t="shared" ca="1" si="62"/>
        <v>1.9917629976039252E-2</v>
      </c>
      <c r="K324" s="12">
        <f t="shared" si="57"/>
        <v>107.67093521039187</v>
      </c>
      <c r="L324" s="12">
        <f t="shared" si="58"/>
        <v>0.16433249255903781</v>
      </c>
      <c r="M324" s="12">
        <f t="shared" si="63"/>
        <v>72.991022218190608</v>
      </c>
      <c r="N324" s="12">
        <f t="shared" si="64"/>
        <v>142.35084820259314</v>
      </c>
      <c r="O324" s="14">
        <f t="shared" si="65"/>
        <v>3.8179169249470658E-2</v>
      </c>
      <c r="P324" s="15">
        <f t="shared" si="59"/>
        <v>5.5846740611995779E-3</v>
      </c>
    </row>
    <row r="325" spans="1:16" x14ac:dyDescent="0.3">
      <c r="A325">
        <v>323</v>
      </c>
      <c r="B325" s="3">
        <v>45180</v>
      </c>
      <c r="C325">
        <v>90.66</v>
      </c>
      <c r="D325">
        <v>91.45</v>
      </c>
      <c r="E325">
        <v>90.12</v>
      </c>
      <c r="F325">
        <v>90.64</v>
      </c>
      <c r="G325" s="5">
        <f t="shared" si="60"/>
        <v>-4.7911576186643762E-5</v>
      </c>
      <c r="H325" s="5">
        <f t="shared" ca="1" si="61"/>
        <v>-37.523538734489009</v>
      </c>
      <c r="I325">
        <f t="shared" ca="1" si="56"/>
        <v>82.319200253632431</v>
      </c>
      <c r="J325">
        <f t="shared" ca="1" si="62"/>
        <v>8.5928622055028E-6</v>
      </c>
      <c r="K325" s="12">
        <f t="shared" si="57"/>
        <v>107.64210218586666</v>
      </c>
      <c r="L325" s="12">
        <f t="shared" si="58"/>
        <v>0.16459088969861596</v>
      </c>
      <c r="M325" s="12">
        <f t="shared" si="63"/>
        <v>72.916959824976445</v>
      </c>
      <c r="N325" s="12">
        <f t="shared" si="64"/>
        <v>142.36724454675687</v>
      </c>
      <c r="O325" s="14">
        <f t="shared" si="65"/>
        <v>3.8145156522751744E-2</v>
      </c>
      <c r="P325" s="15">
        <f t="shared" si="59"/>
        <v>5.57445513356196E-3</v>
      </c>
    </row>
    <row r="326" spans="1:16" x14ac:dyDescent="0.3">
      <c r="A326">
        <v>324</v>
      </c>
      <c r="B326" s="3">
        <v>45181</v>
      </c>
      <c r="C326">
        <v>90.56</v>
      </c>
      <c r="D326">
        <v>92.42</v>
      </c>
      <c r="E326">
        <v>90.54</v>
      </c>
      <c r="F326">
        <v>92.06</v>
      </c>
      <c r="G326" s="5">
        <f t="shared" si="60"/>
        <v>6.7510737026146303E-3</v>
      </c>
      <c r="H326" s="5">
        <f t="shared" ca="1" si="61"/>
        <v>-37.953731181866246</v>
      </c>
      <c r="I326">
        <f t="shared" ca="1" si="56"/>
        <v>81.994285751043805</v>
      </c>
      <c r="J326">
        <f t="shared" ca="1" si="62"/>
        <v>-3.954817513480478E-3</v>
      </c>
      <c r="K326" s="12">
        <f t="shared" si="57"/>
        <v>107.61327688249017</v>
      </c>
      <c r="L326" s="12">
        <f t="shared" si="58"/>
        <v>0.1648489031408287</v>
      </c>
      <c r="M326" s="12">
        <f t="shared" si="63"/>
        <v>72.843012793851315</v>
      </c>
      <c r="N326" s="12">
        <f t="shared" si="64"/>
        <v>142.38354097112904</v>
      </c>
      <c r="O326" s="14">
        <f t="shared" si="65"/>
        <v>3.4517533509317772E-2</v>
      </c>
      <c r="P326" s="15">
        <f t="shared" si="59"/>
        <v>4.5961465055054281E-3</v>
      </c>
    </row>
    <row r="327" spans="1:16" x14ac:dyDescent="0.3">
      <c r="A327">
        <v>325</v>
      </c>
      <c r="B327" s="3">
        <v>45182</v>
      </c>
      <c r="C327">
        <v>91.93</v>
      </c>
      <c r="D327">
        <v>92.83</v>
      </c>
      <c r="E327">
        <v>91.63</v>
      </c>
      <c r="F327">
        <v>91.88</v>
      </c>
      <c r="G327" s="5">
        <f t="shared" si="60"/>
        <v>-8.4998403496701119E-4</v>
      </c>
      <c r="H327" s="5">
        <f t="shared" ca="1" si="61"/>
        <v>-38.037236236223826</v>
      </c>
      <c r="I327">
        <f t="shared" ca="1" si="56"/>
        <v>81.928633086202268</v>
      </c>
      <c r="J327">
        <f t="shared" ca="1" si="62"/>
        <v>-8.0101878148131978E-4</v>
      </c>
      <c r="K327" s="12">
        <f t="shared" si="57"/>
        <v>107.58445929819477</v>
      </c>
      <c r="L327" s="12">
        <f t="shared" si="58"/>
        <v>0.16510653468626035</v>
      </c>
      <c r="M327" s="12">
        <f t="shared" si="63"/>
        <v>72.769180666987651</v>
      </c>
      <c r="N327" s="12">
        <f t="shared" si="64"/>
        <v>142.39973792940191</v>
      </c>
      <c r="O327" s="14">
        <f t="shared" si="65"/>
        <v>3.4906185019004277E-2</v>
      </c>
      <c r="P327" s="15">
        <f t="shared" si="59"/>
        <v>4.6961628488479878E-3</v>
      </c>
    </row>
    <row r="328" spans="1:16" x14ac:dyDescent="0.3">
      <c r="A328">
        <v>326</v>
      </c>
      <c r="B328" s="3">
        <v>45183</v>
      </c>
      <c r="C328">
        <v>92.2</v>
      </c>
      <c r="D328">
        <v>94.21</v>
      </c>
      <c r="E328">
        <v>92.03</v>
      </c>
      <c r="F328">
        <v>93.7</v>
      </c>
      <c r="G328" s="5">
        <f t="shared" si="60"/>
        <v>8.5186043647897999E-3</v>
      </c>
      <c r="H328" s="5">
        <f t="shared" ca="1" si="61"/>
        <v>-38.829360359629561</v>
      </c>
      <c r="I328">
        <f t="shared" ca="1" si="56"/>
        <v>81.337018687365358</v>
      </c>
      <c r="J328">
        <f t="shared" ca="1" si="62"/>
        <v>-7.2472927632631036E-3</v>
      </c>
      <c r="K328" s="12">
        <f t="shared" si="57"/>
        <v>107.55564943091336</v>
      </c>
      <c r="L328" s="12">
        <f t="shared" si="58"/>
        <v>0.16536378612161989</v>
      </c>
      <c r="M328" s="12">
        <f t="shared" si="63"/>
        <v>72.695462989929013</v>
      </c>
      <c r="N328" s="12">
        <f t="shared" si="64"/>
        <v>142.41583587189774</v>
      </c>
      <c r="O328" s="14">
        <f t="shared" si="65"/>
        <v>3.0376037643941825E-2</v>
      </c>
      <c r="P328" s="15">
        <f t="shared" si="59"/>
        <v>3.5872476377155674E-3</v>
      </c>
    </row>
    <row r="329" spans="1:16" x14ac:dyDescent="0.3">
      <c r="A329">
        <v>327</v>
      </c>
      <c r="B329" s="3">
        <v>45184</v>
      </c>
      <c r="C329">
        <v>94.13</v>
      </c>
      <c r="D329">
        <v>94.61</v>
      </c>
      <c r="E329">
        <v>92.67</v>
      </c>
      <c r="F329">
        <v>93.93</v>
      </c>
      <c r="G329" s="5">
        <f t="shared" si="60"/>
        <v>1.0647314487994557E-3</v>
      </c>
      <c r="H329" s="5">
        <f t="shared" ca="1" si="61"/>
        <v>-39.163866935859964</v>
      </c>
      <c r="I329">
        <f t="shared" ca="1" si="56"/>
        <v>81.086531909941016</v>
      </c>
      <c r="J329">
        <f t="shared" ca="1" si="62"/>
        <v>-3.0843676927798966E-3</v>
      </c>
      <c r="K329" s="12">
        <f t="shared" si="57"/>
        <v>107.52684727857944</v>
      </c>
      <c r="L329" s="12">
        <f t="shared" si="58"/>
        <v>0.16562065921989208</v>
      </c>
      <c r="M329" s="12">
        <f t="shared" si="63"/>
        <v>72.621859311554076</v>
      </c>
      <c r="N329" s="12">
        <f t="shared" si="64"/>
        <v>142.43183524560482</v>
      </c>
      <c r="O329" s="14">
        <f t="shared" si="65"/>
        <v>2.9760980010122413E-2</v>
      </c>
      <c r="P329" s="15">
        <f t="shared" si="59"/>
        <v>3.4471682246187121E-3</v>
      </c>
    </row>
    <row r="330" spans="1:16" x14ac:dyDescent="0.3">
      <c r="A330">
        <v>328</v>
      </c>
      <c r="B330" s="3">
        <v>45187</v>
      </c>
      <c r="C330">
        <v>94.2</v>
      </c>
      <c r="D330">
        <v>94.95</v>
      </c>
      <c r="E330">
        <v>93.78</v>
      </c>
      <c r="F330">
        <v>94.43</v>
      </c>
      <c r="G330" s="5">
        <f t="shared" si="60"/>
        <v>2.3056673495834333E-3</v>
      </c>
      <c r="H330" s="5">
        <f t="shared" ca="1" si="61"/>
        <v>-37.5009424712974</v>
      </c>
      <c r="I330">
        <f t="shared" ca="1" si="56"/>
        <v>82.319090832713513</v>
      </c>
      <c r="J330">
        <f t="shared" ca="1" si="62"/>
        <v>1.5086167522935266E-2</v>
      </c>
      <c r="K330" s="12">
        <f t="shared" si="57"/>
        <v>107.49805283912701</v>
      </c>
      <c r="L330" s="12">
        <f t="shared" si="58"/>
        <v>0.16587715574047979</v>
      </c>
      <c r="M330" s="12">
        <f t="shared" si="63"/>
        <v>72.548369184042386</v>
      </c>
      <c r="N330" s="12">
        <f t="shared" si="64"/>
        <v>142.44773649421165</v>
      </c>
      <c r="O330" s="14">
        <f t="shared" si="65"/>
        <v>2.849998651122557E-2</v>
      </c>
      <c r="P330" s="15">
        <f t="shared" si="59"/>
        <v>3.1686325562421589E-3</v>
      </c>
    </row>
    <row r="331" spans="1:16" x14ac:dyDescent="0.3">
      <c r="A331">
        <v>329</v>
      </c>
      <c r="B331" s="3">
        <v>45188</v>
      </c>
      <c r="C331">
        <v>94.63</v>
      </c>
      <c r="D331">
        <v>95.95</v>
      </c>
      <c r="E331">
        <v>94.17</v>
      </c>
      <c r="F331">
        <v>94.34</v>
      </c>
      <c r="G331" s="5">
        <f t="shared" si="60"/>
        <v>-4.1411777647806054E-4</v>
      </c>
      <c r="H331" s="5">
        <f t="shared" ca="1" si="61"/>
        <v>-38.519572949156753</v>
      </c>
      <c r="I331">
        <f t="shared" ca="1" si="56"/>
        <v>81.556435184203124</v>
      </c>
      <c r="J331">
        <f t="shared" ca="1" si="62"/>
        <v>-9.3078103011044674E-3</v>
      </c>
      <c r="K331" s="12">
        <f t="shared" si="57"/>
        <v>107.46926611049066</v>
      </c>
      <c r="L331" s="12">
        <f t="shared" si="58"/>
        <v>0.16613327742935421</v>
      </c>
      <c r="M331" s="12">
        <f t="shared" si="63"/>
        <v>72.474992162838717</v>
      </c>
      <c r="N331" s="12">
        <f t="shared" si="64"/>
        <v>142.4635400581426</v>
      </c>
      <c r="O331" s="14">
        <f t="shared" si="65"/>
        <v>2.8656772953537909E-2</v>
      </c>
      <c r="P331" s="15">
        <f t="shared" si="59"/>
        <v>3.2022482882070572E-3</v>
      </c>
    </row>
    <row r="332" spans="1:16" x14ac:dyDescent="0.3">
      <c r="A332">
        <v>330</v>
      </c>
      <c r="B332" s="3">
        <v>45189</v>
      </c>
      <c r="C332">
        <v>94.48</v>
      </c>
      <c r="D332">
        <v>94.73</v>
      </c>
      <c r="E332">
        <v>92.76</v>
      </c>
      <c r="F332">
        <v>93.53</v>
      </c>
      <c r="G332" s="5">
        <f t="shared" si="60"/>
        <v>-3.7449375642589441E-3</v>
      </c>
      <c r="H332" s="5">
        <f t="shared" ca="1" si="61"/>
        <v>-37.687477381581132</v>
      </c>
      <c r="I332">
        <f t="shared" ca="1" si="56"/>
        <v>82.172721635516538</v>
      </c>
      <c r="J332">
        <f t="shared" ca="1" si="62"/>
        <v>7.5281565465256557E-3</v>
      </c>
      <c r="K332" s="12">
        <f t="shared" si="57"/>
        <v>107.44048709060554</v>
      </c>
      <c r="L332" s="12">
        <f t="shared" si="58"/>
        <v>0.16638902601919459</v>
      </c>
      <c r="M332" s="12">
        <f t="shared" si="63"/>
        <v>72.401727806619476</v>
      </c>
      <c r="N332" s="12">
        <f t="shared" si="64"/>
        <v>142.47924637459161</v>
      </c>
      <c r="O332" s="14">
        <f t="shared" si="65"/>
        <v>3.0552274631202768E-2</v>
      </c>
      <c r="P332" s="15">
        <f t="shared" si="59"/>
        <v>3.6260912115469667E-3</v>
      </c>
    </row>
    <row r="333" spans="1:16" x14ac:dyDescent="0.3">
      <c r="A333">
        <v>331</v>
      </c>
      <c r="B333" s="3">
        <v>45190</v>
      </c>
      <c r="C333">
        <v>93.22</v>
      </c>
      <c r="D333">
        <v>94.6</v>
      </c>
      <c r="E333">
        <v>92.2</v>
      </c>
      <c r="F333">
        <v>93.3</v>
      </c>
      <c r="G333" s="5">
        <f t="shared" si="60"/>
        <v>-1.0692905989241907E-3</v>
      </c>
      <c r="H333" s="5">
        <f t="shared" ca="1" si="61"/>
        <v>-36.684197119613373</v>
      </c>
      <c r="I333">
        <f t="shared" ca="1" si="56"/>
        <v>82.922696719113659</v>
      </c>
      <c r="J333">
        <f t="shared" ca="1" si="62"/>
        <v>9.0854155729040327E-3</v>
      </c>
      <c r="K333" s="12">
        <f t="shared" si="57"/>
        <v>107.41171577740734</v>
      </c>
      <c r="L333" s="12">
        <f t="shared" si="58"/>
        <v>0.1666444032295285</v>
      </c>
      <c r="M333" s="12">
        <f t="shared" si="63"/>
        <v>72.328575677259224</v>
      </c>
      <c r="N333" s="12">
        <f t="shared" si="64"/>
        <v>142.49485587755547</v>
      </c>
      <c r="O333" s="14">
        <f t="shared" si="65"/>
        <v>3.1052632241507137E-2</v>
      </c>
      <c r="P333" s="15">
        <f t="shared" si="59"/>
        <v>3.7417701530743619E-3</v>
      </c>
    </row>
    <row r="334" spans="1:16" x14ac:dyDescent="0.3">
      <c r="A334">
        <v>332</v>
      </c>
      <c r="B334" s="3">
        <v>45191</v>
      </c>
      <c r="C334">
        <v>93.32</v>
      </c>
      <c r="D334">
        <v>94.63</v>
      </c>
      <c r="E334">
        <v>92.8</v>
      </c>
      <c r="F334">
        <v>93.27</v>
      </c>
      <c r="G334" s="5">
        <f t="shared" si="60"/>
        <v>-1.3966698364567803E-4</v>
      </c>
      <c r="H334" s="5">
        <f t="shared" ca="1" si="61"/>
        <v>-35.951961252361038</v>
      </c>
      <c r="I334">
        <f t="shared" ca="1" si="56"/>
        <v>83.473444102893907</v>
      </c>
      <c r="J334">
        <f t="shared" ca="1" si="62"/>
        <v>6.6197376002399234E-3</v>
      </c>
      <c r="K334" s="12">
        <f t="shared" si="57"/>
        <v>107.38295216883225</v>
      </c>
      <c r="L334" s="12">
        <f t="shared" si="58"/>
        <v>0.16689941076687428</v>
      </c>
      <c r="M334" s="12">
        <f t="shared" si="63"/>
        <v>72.255535339796566</v>
      </c>
      <c r="N334" s="12">
        <f t="shared" si="64"/>
        <v>142.51036899786791</v>
      </c>
      <c r="O334" s="14">
        <f t="shared" si="65"/>
        <v>3.1066689627873206E-2</v>
      </c>
      <c r="P334" s="15">
        <f t="shared" si="59"/>
        <v>3.7446276310785682E-3</v>
      </c>
    </row>
    <row r="335" spans="1:16" x14ac:dyDescent="0.3">
      <c r="A335">
        <v>333</v>
      </c>
      <c r="B335" s="3">
        <v>45194</v>
      </c>
      <c r="C335">
        <v>93.75</v>
      </c>
      <c r="D335">
        <v>94.25</v>
      </c>
      <c r="E335">
        <v>92.54</v>
      </c>
      <c r="F335">
        <v>93.29</v>
      </c>
      <c r="G335" s="5">
        <f t="shared" si="60"/>
        <v>9.311631294318144E-5</v>
      </c>
      <c r="H335" s="5">
        <f t="shared" ca="1" si="61"/>
        <v>-36.603766581238077</v>
      </c>
      <c r="I335">
        <f t="shared" ca="1" si="56"/>
        <v>82.976524232441207</v>
      </c>
      <c r="J335">
        <f t="shared" ca="1" si="62"/>
        <v>-5.9708193605076841E-3</v>
      </c>
      <c r="K335" s="12">
        <f t="shared" si="57"/>
        <v>107.35419626281711</v>
      </c>
      <c r="L335" s="12">
        <f t="shared" si="58"/>
        <v>0.16715405032487637</v>
      </c>
      <c r="M335" s="12">
        <f t="shared" si="63"/>
        <v>72.182606362401998</v>
      </c>
      <c r="N335" s="12">
        <f t="shared" si="64"/>
        <v>142.52578616323223</v>
      </c>
      <c r="O335" s="14">
        <f t="shared" si="65"/>
        <v>3.0958902069209461E-2</v>
      </c>
      <c r="P335" s="15">
        <f t="shared" si="59"/>
        <v>3.7190399303501489E-3</v>
      </c>
    </row>
    <row r="336" spans="1:16" x14ac:dyDescent="0.3">
      <c r="A336">
        <v>334</v>
      </c>
      <c r="B336" s="3">
        <v>45195</v>
      </c>
      <c r="C336">
        <v>93.26</v>
      </c>
      <c r="D336">
        <v>94.21</v>
      </c>
      <c r="E336">
        <v>91.8</v>
      </c>
      <c r="F336">
        <v>93.96</v>
      </c>
      <c r="G336" s="5">
        <f t="shared" si="60"/>
        <v>3.1079150297707385E-3</v>
      </c>
      <c r="H336" s="5">
        <f t="shared" ca="1" si="61"/>
        <v>-36.898717091122641</v>
      </c>
      <c r="I336">
        <f t="shared" ca="1" si="56"/>
        <v>82.75076005575896</v>
      </c>
      <c r="J336">
        <f t="shared" ca="1" si="62"/>
        <v>-2.7245280378163377E-3</v>
      </c>
      <c r="K336" s="12">
        <f t="shared" si="57"/>
        <v>107.32544805729924</v>
      </c>
      <c r="L336" s="12">
        <f t="shared" si="58"/>
        <v>0.16740832358443919</v>
      </c>
      <c r="M336" s="12">
        <f t="shared" si="63"/>
        <v>72.109788316345544</v>
      </c>
      <c r="N336" s="12">
        <f t="shared" si="64"/>
        <v>142.54110779825294</v>
      </c>
      <c r="O336" s="14">
        <f t="shared" si="65"/>
        <v>2.9275910092101547E-2</v>
      </c>
      <c r="P336" s="15">
        <f t="shared" si="59"/>
        <v>3.3361831892382275E-3</v>
      </c>
    </row>
    <row r="337" spans="1:16" x14ac:dyDescent="0.3">
      <c r="A337">
        <v>335</v>
      </c>
      <c r="B337" s="3">
        <v>45196</v>
      </c>
      <c r="C337">
        <v>94.16</v>
      </c>
      <c r="D337">
        <v>97.04</v>
      </c>
      <c r="E337">
        <v>94.15</v>
      </c>
      <c r="F337">
        <v>96.55</v>
      </c>
      <c r="G337" s="5">
        <f t="shared" si="60"/>
        <v>1.1809270009845297E-2</v>
      </c>
      <c r="H337" s="5">
        <f t="shared" ca="1" si="61"/>
        <v>-37.000837579298555</v>
      </c>
      <c r="I337">
        <f t="shared" ca="1" si="56"/>
        <v>82.670500768126672</v>
      </c>
      <c r="J337">
        <f t="shared" ca="1" si="62"/>
        <v>-9.7036249790691698E-4</v>
      </c>
      <c r="K337" s="12">
        <f t="shared" si="57"/>
        <v>107.29670755021654</v>
      </c>
      <c r="L337" s="12">
        <f t="shared" si="58"/>
        <v>0.16766223221386473</v>
      </c>
      <c r="M337" s="12">
        <f t="shared" si="63"/>
        <v>72.037080775964156</v>
      </c>
      <c r="N337" s="12">
        <f t="shared" si="64"/>
        <v>142.55633432446891</v>
      </c>
      <c r="O337" s="14">
        <f t="shared" si="65"/>
        <v>2.309311747897249E-2</v>
      </c>
      <c r="P337" s="15">
        <f t="shared" si="59"/>
        <v>2.1007663293117849E-3</v>
      </c>
    </row>
    <row r="338" spans="1:16" x14ac:dyDescent="0.3">
      <c r="A338">
        <v>336</v>
      </c>
      <c r="B338" s="3">
        <v>45197</v>
      </c>
      <c r="C338">
        <v>96.62</v>
      </c>
      <c r="D338">
        <v>97.63</v>
      </c>
      <c r="E338">
        <v>94.75</v>
      </c>
      <c r="F338">
        <v>95.38</v>
      </c>
      <c r="G338" s="5">
        <f t="shared" si="60"/>
        <v>-5.2949600175652102E-3</v>
      </c>
      <c r="H338" s="5">
        <f t="shared" ca="1" si="61"/>
        <v>-37.281152840540621</v>
      </c>
      <c r="I338">
        <f t="shared" ca="1" si="56"/>
        <v>82.456546443473002</v>
      </c>
      <c r="J338">
        <f t="shared" ca="1" si="62"/>
        <v>-2.5913918767084022E-3</v>
      </c>
      <c r="K338" s="12">
        <f t="shared" si="57"/>
        <v>107.26797473950748</v>
      </c>
      <c r="L338" s="12">
        <f t="shared" si="58"/>
        <v>0.16791577786897904</v>
      </c>
      <c r="M338" s="12">
        <f t="shared" si="63"/>
        <v>71.964483318631267</v>
      </c>
      <c r="N338" s="12">
        <f t="shared" si="64"/>
        <v>142.57146616038369</v>
      </c>
      <c r="O338" s="14">
        <f t="shared" si="65"/>
        <v>2.5771085079342365E-2</v>
      </c>
      <c r="P338" s="15">
        <f t="shared" si="59"/>
        <v>2.6023019843669404E-3</v>
      </c>
    </row>
    <row r="339" spans="1:16" x14ac:dyDescent="0.3">
      <c r="A339">
        <v>337</v>
      </c>
      <c r="B339" s="3">
        <v>45198</v>
      </c>
      <c r="C339">
        <v>95.1</v>
      </c>
      <c r="D339">
        <v>96.24</v>
      </c>
      <c r="E339">
        <v>94.96</v>
      </c>
      <c r="F339">
        <v>95.31</v>
      </c>
      <c r="G339" s="5">
        <f t="shared" si="60"/>
        <v>-3.1884855103837779E-4</v>
      </c>
      <c r="H339" s="5">
        <f t="shared" ca="1" si="61"/>
        <v>-38.1082564276863</v>
      </c>
      <c r="I339">
        <f t="shared" ca="1" si="56"/>
        <v>81.835075334428893</v>
      </c>
      <c r="J339">
        <f t="shared" ca="1" si="62"/>
        <v>-7.5654992819027371E-3</v>
      </c>
      <c r="K339" s="12">
        <f t="shared" si="57"/>
        <v>107.23924962311102</v>
      </c>
      <c r="L339" s="12">
        <f t="shared" si="58"/>
        <v>0.16816896219326619</v>
      </c>
      <c r="M339" s="12">
        <f t="shared" si="63"/>
        <v>71.891995524724763</v>
      </c>
      <c r="N339" s="12">
        <f t="shared" si="64"/>
        <v>142.58650372149728</v>
      </c>
      <c r="O339" s="14">
        <f t="shared" si="65"/>
        <v>2.58775713309621E-2</v>
      </c>
      <c r="P339" s="15">
        <f t="shared" si="59"/>
        <v>2.6230066385575382E-3</v>
      </c>
    </row>
    <row r="340" spans="1:16" x14ac:dyDescent="0.3">
      <c r="A340">
        <v>338</v>
      </c>
      <c r="B340" s="3">
        <v>45201</v>
      </c>
      <c r="C340">
        <v>92.19</v>
      </c>
      <c r="D340">
        <v>93.32</v>
      </c>
      <c r="E340">
        <v>90.35</v>
      </c>
      <c r="F340">
        <v>90.71</v>
      </c>
      <c r="G340" s="5">
        <f t="shared" si="60"/>
        <v>-2.14833026033187E-2</v>
      </c>
      <c r="H340" s="5">
        <f t="shared" ca="1" si="61"/>
        <v>-39.820551353883964</v>
      </c>
      <c r="I340">
        <f t="shared" ca="1" si="56"/>
        <v>80.566900606159038</v>
      </c>
      <c r="J340">
        <f t="shared" ca="1" si="62"/>
        <v>-1.561804280926527E-2</v>
      </c>
      <c r="K340" s="12">
        <f t="shared" si="57"/>
        <v>107.21053219896675</v>
      </c>
      <c r="L340" s="12">
        <f t="shared" si="58"/>
        <v>0.16842178681799699</v>
      </c>
      <c r="M340" s="12">
        <f t="shared" si="63"/>
        <v>71.819616977596326</v>
      </c>
      <c r="N340" s="12">
        <f t="shared" si="64"/>
        <v>142.60144742033717</v>
      </c>
      <c r="O340" s="14">
        <f t="shared" si="65"/>
        <v>3.7076133816291504E-2</v>
      </c>
      <c r="P340" s="15">
        <f t="shared" si="59"/>
        <v>5.2681880864945988E-3</v>
      </c>
    </row>
    <row r="341" spans="1:16" x14ac:dyDescent="0.3">
      <c r="A341">
        <v>339</v>
      </c>
      <c r="B341" s="3">
        <v>45202</v>
      </c>
      <c r="C341">
        <v>90.44</v>
      </c>
      <c r="D341">
        <v>91.56</v>
      </c>
      <c r="E341">
        <v>89.52</v>
      </c>
      <c r="F341">
        <v>90.92</v>
      </c>
      <c r="G341" s="5">
        <f t="shared" si="60"/>
        <v>1.0042601094420714E-3</v>
      </c>
      <c r="H341" s="5">
        <f t="shared" ca="1" si="61"/>
        <v>-39.183218490276658</v>
      </c>
      <c r="I341">
        <f t="shared" ca="1" si="56"/>
        <v>81.032014084703889</v>
      </c>
      <c r="J341">
        <f t="shared" ca="1" si="62"/>
        <v>5.7564094879837893E-3</v>
      </c>
      <c r="K341" s="12">
        <f t="shared" si="57"/>
        <v>107.18182246501475</v>
      </c>
      <c r="L341" s="12">
        <f t="shared" si="58"/>
        <v>0.16867425336234992</v>
      </c>
      <c r="M341" s="12">
        <f t="shared" si="63"/>
        <v>71.747347263542224</v>
      </c>
      <c r="N341" s="12">
        <f t="shared" si="64"/>
        <v>142.61629766648727</v>
      </c>
      <c r="O341" s="14">
        <f t="shared" si="65"/>
        <v>3.6485010743658196E-2</v>
      </c>
      <c r="P341" s="15">
        <f t="shared" si="59"/>
        <v>5.1067760303104785E-3</v>
      </c>
    </row>
    <row r="342" spans="1:16" x14ac:dyDescent="0.3">
      <c r="A342">
        <v>340</v>
      </c>
      <c r="B342" s="3">
        <v>45203</v>
      </c>
      <c r="C342">
        <v>90.96</v>
      </c>
      <c r="D342">
        <v>91.19</v>
      </c>
      <c r="E342">
        <v>85.73</v>
      </c>
      <c r="F342">
        <v>85.81</v>
      </c>
      <c r="G342" s="5">
        <f t="shared" si="60"/>
        <v>-2.5121525081228519E-2</v>
      </c>
      <c r="H342" s="5">
        <f t="shared" ca="1" si="61"/>
        <v>-39.83652045786171</v>
      </c>
      <c r="I342">
        <f t="shared" ca="1" si="56"/>
        <v>80.548531455299084</v>
      </c>
      <c r="J342">
        <f t="shared" ca="1" si="62"/>
        <v>-5.9844342116806403E-3</v>
      </c>
      <c r="K342" s="12">
        <f t="shared" si="57"/>
        <v>107.15312041919569</v>
      </c>
      <c r="L342" s="12">
        <f t="shared" si="58"/>
        <v>0.16892636343354428</v>
      </c>
      <c r="M342" s="12">
        <f t="shared" si="63"/>
        <v>71.675185971771768</v>
      </c>
      <c r="N342" s="12">
        <f t="shared" si="64"/>
        <v>142.63105486661962</v>
      </c>
      <c r="O342" s="14">
        <f t="shared" si="65"/>
        <v>4.9891404060367718E-2</v>
      </c>
      <c r="P342" s="15">
        <f t="shared" si="59"/>
        <v>9.3058667957659404E-3</v>
      </c>
    </row>
    <row r="343" spans="1:16" x14ac:dyDescent="0.3">
      <c r="A343">
        <v>341</v>
      </c>
      <c r="B343" s="3">
        <v>45204</v>
      </c>
      <c r="C343">
        <v>86.03</v>
      </c>
      <c r="D343">
        <v>86.51</v>
      </c>
      <c r="E343">
        <v>83.84</v>
      </c>
      <c r="F343">
        <v>84.07</v>
      </c>
      <c r="G343" s="5">
        <f t="shared" si="60"/>
        <v>-8.8968545545418543E-3</v>
      </c>
      <c r="H343" s="5">
        <f t="shared" ca="1" si="61"/>
        <v>-39.331700413095916</v>
      </c>
      <c r="I343">
        <f t="shared" ca="1" si="56"/>
        <v>80.915938918465415</v>
      </c>
      <c r="J343">
        <f t="shared" ca="1" si="62"/>
        <v>4.550946674941281E-3</v>
      </c>
      <c r="K343" s="12">
        <f t="shared" si="57"/>
        <v>107.12442605945077</v>
      </c>
      <c r="L343" s="12">
        <f t="shared" si="58"/>
        <v>0.16917811862695559</v>
      </c>
      <c r="M343" s="12">
        <f t="shared" si="63"/>
        <v>71.603132694379397</v>
      </c>
      <c r="N343" s="12">
        <f t="shared" si="64"/>
        <v>142.64571942452216</v>
      </c>
      <c r="O343" s="14">
        <f t="shared" si="65"/>
        <v>5.4684202460491028E-2</v>
      </c>
      <c r="P343" s="15">
        <f t="shared" si="59"/>
        <v>1.1077027983952053E-2</v>
      </c>
    </row>
    <row r="344" spans="1:16" x14ac:dyDescent="0.3">
      <c r="A344">
        <v>342</v>
      </c>
      <c r="B344" s="3">
        <v>45205</v>
      </c>
      <c r="C344">
        <v>84.22</v>
      </c>
      <c r="D344">
        <v>84.96</v>
      </c>
      <c r="E344">
        <v>83.45</v>
      </c>
      <c r="F344">
        <v>84.58</v>
      </c>
      <c r="G344" s="5">
        <f t="shared" si="60"/>
        <v>2.6266333937187162E-3</v>
      </c>
      <c r="H344" s="5">
        <f t="shared" ca="1" si="61"/>
        <v>-39.298144740257399</v>
      </c>
      <c r="I344">
        <f t="shared" ca="1" si="56"/>
        <v>80.937293598221117</v>
      </c>
      <c r="J344">
        <f t="shared" ca="1" si="62"/>
        <v>2.6387708849026479E-4</v>
      </c>
      <c r="K344" s="12">
        <f t="shared" si="57"/>
        <v>107.09573938372174</v>
      </c>
      <c r="L344" s="12">
        <f t="shared" si="58"/>
        <v>0.16942952052624247</v>
      </c>
      <c r="M344" s="12">
        <f t="shared" si="63"/>
        <v>71.531187026314441</v>
      </c>
      <c r="N344" s="12">
        <f t="shared" si="64"/>
        <v>142.66029174112904</v>
      </c>
      <c r="O344" s="14">
        <f t="shared" si="65"/>
        <v>5.318644303564983E-2</v>
      </c>
      <c r="P344" s="15">
        <f t="shared" si="59"/>
        <v>1.0507175127943507E-2</v>
      </c>
    </row>
    <row r="345" spans="1:16" x14ac:dyDescent="0.3">
      <c r="A345">
        <v>343</v>
      </c>
      <c r="B345" s="3">
        <v>45208</v>
      </c>
      <c r="C345">
        <v>86.35</v>
      </c>
      <c r="D345">
        <v>89</v>
      </c>
      <c r="E345">
        <v>86.07</v>
      </c>
      <c r="F345">
        <v>88.15</v>
      </c>
      <c r="G345" s="5">
        <f t="shared" si="60"/>
        <v>1.7954635824459296E-2</v>
      </c>
      <c r="H345" s="5">
        <f t="shared" ca="1" si="61"/>
        <v>-40.509587158661809</v>
      </c>
      <c r="I345">
        <f t="shared" ca="1" si="56"/>
        <v>80.046914208228756</v>
      </c>
      <c r="J345">
        <f t="shared" ca="1" si="62"/>
        <v>-1.1061811357528199E-2</v>
      </c>
      <c r="K345" s="12">
        <f t="shared" si="57"/>
        <v>107.06706038995094</v>
      </c>
      <c r="L345" s="12">
        <f t="shared" si="58"/>
        <v>0.16968057070346465</v>
      </c>
      <c r="M345" s="12">
        <f t="shared" si="63"/>
        <v>71.459348565352926</v>
      </c>
      <c r="N345" s="12">
        <f t="shared" si="64"/>
        <v>142.67477221454897</v>
      </c>
      <c r="O345" s="14">
        <f t="shared" si="65"/>
        <v>4.3405610549629374E-2</v>
      </c>
      <c r="P345" s="15">
        <f t="shared" si="59"/>
        <v>7.1290264440731993E-3</v>
      </c>
    </row>
    <row r="346" spans="1:16" x14ac:dyDescent="0.3">
      <c r="A346">
        <v>344</v>
      </c>
      <c r="B346" s="3">
        <v>45209</v>
      </c>
      <c r="C346">
        <v>88.11</v>
      </c>
      <c r="D346">
        <v>88.47</v>
      </c>
      <c r="E346">
        <v>86.92</v>
      </c>
      <c r="F346">
        <v>87.65</v>
      </c>
      <c r="G346" s="5">
        <f t="shared" si="60"/>
        <v>-2.4703962055270942E-3</v>
      </c>
      <c r="H346" s="5">
        <f t="shared" ca="1" si="61"/>
        <v>-40.141468541297442</v>
      </c>
      <c r="I346">
        <f t="shared" ca="1" si="56"/>
        <v>80.312098084704573</v>
      </c>
      <c r="J346">
        <f t="shared" ca="1" si="62"/>
        <v>3.3073802889649184E-3</v>
      </c>
      <c r="K346" s="12">
        <f t="shared" si="57"/>
        <v>107.0383890760812</v>
      </c>
      <c r="L346" s="12">
        <f t="shared" si="58"/>
        <v>0.16993127071920064</v>
      </c>
      <c r="M346" s="12">
        <f t="shared" si="63"/>
        <v>71.387616912069234</v>
      </c>
      <c r="N346" s="12">
        <f t="shared" si="64"/>
        <v>142.68916124009317</v>
      </c>
      <c r="O346" s="14">
        <f t="shared" si="65"/>
        <v>4.4672530246441064E-2</v>
      </c>
      <c r="P346" s="15">
        <f t="shared" si="59"/>
        <v>7.5320951383532784E-3</v>
      </c>
    </row>
    <row r="347" spans="1:16" x14ac:dyDescent="0.3">
      <c r="A347">
        <v>345</v>
      </c>
      <c r="B347" s="3">
        <v>45210</v>
      </c>
      <c r="C347">
        <v>87.75</v>
      </c>
      <c r="D347">
        <v>88.25</v>
      </c>
      <c r="E347">
        <v>85.22</v>
      </c>
      <c r="F347">
        <v>85.82</v>
      </c>
      <c r="G347" s="5">
        <f t="shared" si="60"/>
        <v>-9.1634102331607133E-3</v>
      </c>
      <c r="H347" s="5">
        <f t="shared" ca="1" si="61"/>
        <v>-39.413015358296335</v>
      </c>
      <c r="I347">
        <f t="shared" ca="1" si="56"/>
        <v>80.84272474601309</v>
      </c>
      <c r="J347">
        <f t="shared" ca="1" si="62"/>
        <v>6.5853267014437371E-3</v>
      </c>
      <c r="K347" s="12">
        <f t="shared" si="57"/>
        <v>107.00972544005596</v>
      </c>
      <c r="L347" s="12">
        <f t="shared" si="58"/>
        <v>0.17018162212266602</v>
      </c>
      <c r="M347" s="12">
        <f t="shared" si="63"/>
        <v>71.315991669807858</v>
      </c>
      <c r="N347" s="12">
        <f t="shared" si="64"/>
        <v>142.70345921030406</v>
      </c>
      <c r="O347" s="14">
        <f t="shared" si="65"/>
        <v>4.9563151139654968E-2</v>
      </c>
      <c r="P347" s="15">
        <f t="shared" si="59"/>
        <v>9.1842973089819886E-3</v>
      </c>
    </row>
    <row r="348" spans="1:16" x14ac:dyDescent="0.3">
      <c r="A348">
        <v>346</v>
      </c>
      <c r="B348" s="3">
        <v>45211</v>
      </c>
      <c r="C348">
        <v>85.6</v>
      </c>
      <c r="D348">
        <v>87.64</v>
      </c>
      <c r="E348">
        <v>85.18</v>
      </c>
      <c r="F348">
        <v>86</v>
      </c>
      <c r="G348" s="5">
        <f t="shared" si="60"/>
        <v>9.0994104691468811E-4</v>
      </c>
      <c r="H348" s="5">
        <f t="shared" ca="1" si="61"/>
        <v>-40.552985453886997</v>
      </c>
      <c r="I348">
        <f t="shared" ca="1" si="56"/>
        <v>80.005386715502155</v>
      </c>
      <c r="J348">
        <f t="shared" ca="1" si="62"/>
        <v>-1.0411631034846863E-2</v>
      </c>
      <c r="K348" s="12">
        <f t="shared" si="57"/>
        <v>106.98106947981914</v>
      </c>
      <c r="L348" s="12">
        <f t="shared" si="58"/>
        <v>0.17043162645182805</v>
      </c>
      <c r="M348" s="12">
        <f t="shared" si="63"/>
        <v>71.244472444655997</v>
      </c>
      <c r="N348" s="12">
        <f t="shared" si="64"/>
        <v>142.71766651498228</v>
      </c>
      <c r="O348" s="14">
        <f t="shared" si="65"/>
        <v>4.9009335664135456E-2</v>
      </c>
      <c r="P348" s="15">
        <f t="shared" si="59"/>
        <v>8.9886486267634937E-3</v>
      </c>
    </row>
    <row r="349" spans="1:16" x14ac:dyDescent="0.3">
      <c r="A349">
        <v>347</v>
      </c>
      <c r="B349" s="3">
        <v>45212</v>
      </c>
      <c r="C349">
        <v>86.41</v>
      </c>
      <c r="D349">
        <v>90.99</v>
      </c>
      <c r="E349">
        <v>86.28</v>
      </c>
      <c r="F349">
        <v>90.89</v>
      </c>
      <c r="G349" s="5">
        <f t="shared" si="60"/>
        <v>2.4017652179473395E-2</v>
      </c>
      <c r="H349" s="5">
        <f t="shared" ca="1" si="61"/>
        <v>-40.046822284256947</v>
      </c>
      <c r="I349">
        <f t="shared" ca="1" si="56"/>
        <v>80.371298720910772</v>
      </c>
      <c r="J349">
        <f t="shared" ca="1" si="62"/>
        <v>4.563165017976034E-3</v>
      </c>
      <c r="K349" s="12">
        <f t="shared" si="57"/>
        <v>106.9524211933153</v>
      </c>
      <c r="L349" s="12">
        <f t="shared" si="58"/>
        <v>0.17068128523351944</v>
      </c>
      <c r="M349" s="12">
        <f t="shared" si="63"/>
        <v>71.173058845416264</v>
      </c>
      <c r="N349" s="12">
        <f t="shared" si="64"/>
        <v>142.73178354121436</v>
      </c>
      <c r="O349" s="14">
        <f t="shared" si="65"/>
        <v>3.608574729032557E-2</v>
      </c>
      <c r="P349" s="15">
        <f t="shared" si="59"/>
        <v>4.9948873775175155E-3</v>
      </c>
    </row>
    <row r="350" spans="1:16" x14ac:dyDescent="0.3">
      <c r="A350">
        <v>348</v>
      </c>
      <c r="B350" s="3">
        <v>45215</v>
      </c>
      <c r="C350">
        <v>90.92</v>
      </c>
      <c r="D350">
        <v>91.39</v>
      </c>
      <c r="E350">
        <v>89.49</v>
      </c>
      <c r="F350">
        <v>89.65</v>
      </c>
      <c r="G350" s="5">
        <f t="shared" si="60"/>
        <v>-5.9658095248393715E-3</v>
      </c>
      <c r="H350" s="5">
        <f t="shared" ca="1" si="61"/>
        <v>-39.356194493561802</v>
      </c>
      <c r="I350">
        <f t="shared" ca="1" si="56"/>
        <v>80.874483166218042</v>
      </c>
      <c r="J350">
        <f t="shared" ca="1" si="62"/>
        <v>6.2412309059413007E-3</v>
      </c>
      <c r="K350" s="12">
        <f t="shared" si="57"/>
        <v>106.92378057848947</v>
      </c>
      <c r="L350" s="12">
        <f t="shared" si="58"/>
        <v>0.17093059998355226</v>
      </c>
      <c r="M350" s="12">
        <f t="shared" si="63"/>
        <v>71.101750483579309</v>
      </c>
      <c r="N350" s="12">
        <f t="shared" si="64"/>
        <v>142.74581067339963</v>
      </c>
      <c r="O350" s="14">
        <f t="shared" si="65"/>
        <v>3.9191826376519398E-2</v>
      </c>
      <c r="P350" s="15">
        <f t="shared" si="59"/>
        <v>5.8559244293930985E-3</v>
      </c>
    </row>
    <row r="351" spans="1:16" x14ac:dyDescent="0.3">
      <c r="A351">
        <v>349</v>
      </c>
      <c r="B351" s="3">
        <v>45216</v>
      </c>
      <c r="C351">
        <v>90.06</v>
      </c>
      <c r="D351">
        <v>90.92</v>
      </c>
      <c r="E351">
        <v>88.87</v>
      </c>
      <c r="F351">
        <v>89.9</v>
      </c>
      <c r="G351" s="5">
        <f t="shared" si="60"/>
        <v>1.2093978350271068E-3</v>
      </c>
      <c r="H351" s="5">
        <f t="shared" ca="1" si="61"/>
        <v>-38.332381751076433</v>
      </c>
      <c r="I351">
        <f t="shared" ca="1" si="56"/>
        <v>81.627854741464205</v>
      </c>
      <c r="J351">
        <f t="shared" ca="1" si="62"/>
        <v>9.2721985720122264E-3</v>
      </c>
      <c r="K351" s="12">
        <f t="shared" si="57"/>
        <v>106.89514763328728</v>
      </c>
      <c r="L351" s="12">
        <f t="shared" si="58"/>
        <v>0.17117957220682586</v>
      </c>
      <c r="M351" s="12">
        <f t="shared" si="63"/>
        <v>71.030546973298115</v>
      </c>
      <c r="N351" s="12">
        <f t="shared" si="64"/>
        <v>142.75974829327646</v>
      </c>
      <c r="O351" s="14">
        <f t="shared" si="65"/>
        <v>3.8489021964122357E-2</v>
      </c>
      <c r="P351" s="15">
        <f t="shared" si="59"/>
        <v>5.6547842759267324E-3</v>
      </c>
    </row>
    <row r="352" spans="1:16" x14ac:dyDescent="0.3">
      <c r="A352">
        <v>350</v>
      </c>
      <c r="B352" s="3">
        <v>45217</v>
      </c>
      <c r="C352">
        <v>90.9</v>
      </c>
      <c r="D352">
        <v>92.97</v>
      </c>
      <c r="E352">
        <v>90.6</v>
      </c>
      <c r="F352">
        <v>91.5</v>
      </c>
      <c r="G352" s="5">
        <f t="shared" si="60"/>
        <v>7.6614023332194628E-3</v>
      </c>
      <c r="H352" s="5">
        <f t="shared" ca="1" si="61"/>
        <v>-37.86947010502918</v>
      </c>
      <c r="I352">
        <f t="shared" ca="1" si="56"/>
        <v>81.968929654699053</v>
      </c>
      <c r="J352">
        <f t="shared" ca="1" si="62"/>
        <v>4.1697079642184212E-3</v>
      </c>
      <c r="K352" s="12">
        <f t="shared" si="57"/>
        <v>106.86652235565491</v>
      </c>
      <c r="L352" s="12">
        <f t="shared" si="58"/>
        <v>0.17142820339743808</v>
      </c>
      <c r="M352" s="12">
        <f t="shared" si="63"/>
        <v>70.95944793136124</v>
      </c>
      <c r="N352" s="12">
        <f t="shared" si="64"/>
        <v>142.77359677994858</v>
      </c>
      <c r="O352" s="14">
        <f t="shared" si="65"/>
        <v>3.437333419700514E-2</v>
      </c>
      <c r="P352" s="15">
        <f t="shared" si="59"/>
        <v>4.5455349806960334E-3</v>
      </c>
    </row>
    <row r="353" spans="1:16" x14ac:dyDescent="0.3">
      <c r="A353">
        <v>351</v>
      </c>
      <c r="B353" s="3">
        <v>45218</v>
      </c>
      <c r="C353">
        <v>91.34</v>
      </c>
      <c r="D353">
        <v>93.47</v>
      </c>
      <c r="E353">
        <v>89.53</v>
      </c>
      <c r="F353">
        <v>92.38</v>
      </c>
      <c r="G353" s="5">
        <f t="shared" si="60"/>
        <v>4.156863844079573E-3</v>
      </c>
      <c r="H353" s="5">
        <f t="shared" ca="1" si="61"/>
        <v>-38.589412398263789</v>
      </c>
      <c r="I353">
        <f t="shared" ca="1" si="56"/>
        <v>81.430476794082139</v>
      </c>
      <c r="J353">
        <f t="shared" ca="1" si="62"/>
        <v>-6.5906580858834194E-3</v>
      </c>
      <c r="K353" s="12">
        <f t="shared" si="57"/>
        <v>106.83790474353904</v>
      </c>
      <c r="L353" s="12">
        <f t="shared" si="58"/>
        <v>0.17167649503879492</v>
      </c>
      <c r="M353" s="12">
        <f t="shared" si="63"/>
        <v>70.888452977166565</v>
      </c>
      <c r="N353" s="12">
        <f t="shared" si="64"/>
        <v>142.78735650991152</v>
      </c>
      <c r="O353" s="14">
        <f t="shared" si="65"/>
        <v>3.212663434796216E-2</v>
      </c>
      <c r="P353" s="15">
        <f t="shared" si="59"/>
        <v>3.9875946744002497E-3</v>
      </c>
    </row>
    <row r="354" spans="1:16" x14ac:dyDescent="0.3">
      <c r="A354">
        <v>352</v>
      </c>
      <c r="B354" s="3">
        <v>45219</v>
      </c>
      <c r="C354">
        <v>92.85</v>
      </c>
      <c r="D354">
        <v>93.79</v>
      </c>
      <c r="E354">
        <v>91.68</v>
      </c>
      <c r="F354">
        <v>92.16</v>
      </c>
      <c r="G354" s="5">
        <f t="shared" si="60"/>
        <v>-1.0354918313910787E-3</v>
      </c>
      <c r="H354" s="5">
        <f t="shared" ca="1" si="61"/>
        <v>-38.18358905816995</v>
      </c>
      <c r="I354">
        <f t="shared" ca="1" si="56"/>
        <v>81.728272046328655</v>
      </c>
      <c r="J354">
        <f t="shared" ca="1" si="62"/>
        <v>3.6503783590671754E-3</v>
      </c>
      <c r="K354" s="12">
        <f t="shared" si="57"/>
        <v>106.80929479488694</v>
      </c>
      <c r="L354" s="12">
        <f t="shared" si="58"/>
        <v>0.1719244486037135</v>
      </c>
      <c r="M354" s="12">
        <f t="shared" si="63"/>
        <v>70.817561732696589</v>
      </c>
      <c r="N354" s="12">
        <f t="shared" si="64"/>
        <v>142.80102785707729</v>
      </c>
      <c r="O354" s="14">
        <f t="shared" si="65"/>
        <v>3.2611451616185047E-2</v>
      </c>
      <c r="P354" s="15">
        <f t="shared" si="59"/>
        <v>4.1045268754083784E-3</v>
      </c>
    </row>
    <row r="355" spans="1:16" x14ac:dyDescent="0.3">
      <c r="A355">
        <v>353</v>
      </c>
      <c r="B355" s="3">
        <v>45222</v>
      </c>
      <c r="C355">
        <v>92.13</v>
      </c>
      <c r="D355">
        <v>92.43</v>
      </c>
      <c r="E355">
        <v>89.62</v>
      </c>
      <c r="F355">
        <v>89.83</v>
      </c>
      <c r="G355" s="5">
        <f t="shared" si="60"/>
        <v>-1.1121066398101662E-2</v>
      </c>
      <c r="H355" s="5">
        <f t="shared" ca="1" si="61"/>
        <v>-37.237645587263984</v>
      </c>
      <c r="I355">
        <f t="shared" ca="1" si="56"/>
        <v>82.431184220106346</v>
      </c>
      <c r="J355">
        <f t="shared" ca="1" si="62"/>
        <v>8.5638255105354461E-3</v>
      </c>
      <c r="K355" s="12">
        <f t="shared" si="57"/>
        <v>106.78069250764645</v>
      </c>
      <c r="L355" s="12">
        <f t="shared" si="58"/>
        <v>0.17217206555453057</v>
      </c>
      <c r="M355" s="12">
        <f t="shared" si="63"/>
        <v>70.746773822492486</v>
      </c>
      <c r="N355" s="12">
        <f t="shared" si="64"/>
        <v>142.81461119280041</v>
      </c>
      <c r="O355" s="14">
        <f t="shared" si="65"/>
        <v>3.8430690584081925E-2</v>
      </c>
      <c r="P355" s="15">
        <f t="shared" si="59"/>
        <v>5.6357050971726531E-3</v>
      </c>
    </row>
    <row r="356" spans="1:16" x14ac:dyDescent="0.3">
      <c r="A356">
        <v>354</v>
      </c>
      <c r="B356" s="3">
        <v>45223</v>
      </c>
      <c r="C356">
        <v>90.35</v>
      </c>
      <c r="D356">
        <v>90.67</v>
      </c>
      <c r="E356">
        <v>87.35</v>
      </c>
      <c r="F356">
        <v>88.07</v>
      </c>
      <c r="G356" s="5">
        <f t="shared" si="60"/>
        <v>-8.5934033378189546E-3</v>
      </c>
      <c r="H356" s="5">
        <f t="shared" ca="1" si="61"/>
        <v>-36.355763779983157</v>
      </c>
      <c r="I356">
        <f t="shared" ca="1" si="56"/>
        <v>83.091704735132794</v>
      </c>
      <c r="J356">
        <f t="shared" ca="1" si="62"/>
        <v>7.981059602173551E-3</v>
      </c>
      <c r="K356" s="12">
        <f t="shared" si="57"/>
        <v>106.7520978797659</v>
      </c>
      <c r="L356" s="12">
        <f t="shared" si="58"/>
        <v>0.17241934734320591</v>
      </c>
      <c r="M356" s="12">
        <f t="shared" si="63"/>
        <v>70.67608887362924</v>
      </c>
      <c r="N356" s="12">
        <f t="shared" si="64"/>
        <v>142.82810688590257</v>
      </c>
      <c r="O356" s="14">
        <f t="shared" si="65"/>
        <v>4.2959286013602112E-2</v>
      </c>
      <c r="P356" s="15">
        <f t="shared" si="59"/>
        <v>6.9803388424460678E-3</v>
      </c>
    </row>
    <row r="357" spans="1:16" x14ac:dyDescent="0.3">
      <c r="A357">
        <v>355</v>
      </c>
      <c r="B357" s="3">
        <v>45224</v>
      </c>
      <c r="C357">
        <v>88.14</v>
      </c>
      <c r="D357">
        <v>90.34</v>
      </c>
      <c r="E357">
        <v>86.67</v>
      </c>
      <c r="F357">
        <v>90.13</v>
      </c>
      <c r="G357" s="5">
        <f t="shared" si="60"/>
        <v>1.0041374723262025E-2</v>
      </c>
      <c r="H357" s="5">
        <f t="shared" ca="1" si="61"/>
        <v>-37.349580140948405</v>
      </c>
      <c r="I357">
        <f t="shared" ca="1" si="56"/>
        <v>82.340475959155469</v>
      </c>
      <c r="J357">
        <f t="shared" ca="1" si="62"/>
        <v>-9.0820774594377943E-3</v>
      </c>
      <c r="K357" s="12">
        <f t="shared" si="57"/>
        <v>106.72351090919422</v>
      </c>
      <c r="L357" s="12">
        <f t="shared" si="58"/>
        <v>0.17266629541142228</v>
      </c>
      <c r="M357" s="12">
        <f t="shared" si="63"/>
        <v>70.605506515691701</v>
      </c>
      <c r="N357" s="12">
        <f t="shared" si="64"/>
        <v>142.84151530269673</v>
      </c>
      <c r="O357" s="14">
        <f t="shared" si="65"/>
        <v>3.7542525305285533E-2</v>
      </c>
      <c r="P357" s="15">
        <f t="shared" si="59"/>
        <v>5.386199665587307E-3</v>
      </c>
    </row>
    <row r="358" spans="1:16" x14ac:dyDescent="0.3">
      <c r="A358">
        <v>356</v>
      </c>
      <c r="B358" s="3">
        <v>45225</v>
      </c>
      <c r="C358">
        <v>90.04</v>
      </c>
      <c r="D358">
        <v>90.36</v>
      </c>
      <c r="E358">
        <v>87.55</v>
      </c>
      <c r="F358">
        <v>87.93</v>
      </c>
      <c r="G358" s="5">
        <f t="shared" si="60"/>
        <v>-1.0732297908380246E-2</v>
      </c>
      <c r="H358" s="5">
        <f t="shared" ca="1" si="61"/>
        <v>-36.598994459282622</v>
      </c>
      <c r="I358">
        <f t="shared" ca="1" si="56"/>
        <v>82.901193734253411</v>
      </c>
      <c r="J358">
        <f t="shared" ca="1" si="62"/>
        <v>6.7866649895673902E-3</v>
      </c>
      <c r="K358" s="12">
        <f t="shared" si="57"/>
        <v>106.69493159388088</v>
      </c>
      <c r="L358" s="12">
        <f t="shared" si="58"/>
        <v>0.17291291119069141</v>
      </c>
      <c r="M358" s="12">
        <f t="shared" si="63"/>
        <v>70.53502638074923</v>
      </c>
      <c r="N358" s="12">
        <f t="shared" si="64"/>
        <v>142.85483680701253</v>
      </c>
      <c r="O358" s="14">
        <f t="shared" si="65"/>
        <v>4.3210284559099019E-2</v>
      </c>
      <c r="P358" s="15">
        <f t="shared" si="59"/>
        <v>7.0571283588200069E-3</v>
      </c>
    </row>
    <row r="359" spans="1:16" x14ac:dyDescent="0.3">
      <c r="A359">
        <v>357</v>
      </c>
      <c r="B359" s="3">
        <v>45226</v>
      </c>
      <c r="C359">
        <v>88.26</v>
      </c>
      <c r="D359">
        <v>90.74</v>
      </c>
      <c r="E359">
        <v>87.84</v>
      </c>
      <c r="F359">
        <v>90.48</v>
      </c>
      <c r="G359" s="5">
        <f t="shared" si="60"/>
        <v>1.2415518759300921E-2</v>
      </c>
      <c r="H359" s="5">
        <f t="shared" ca="1" si="61"/>
        <v>-36.677624751663416</v>
      </c>
      <c r="I359">
        <f t="shared" ca="1" si="56"/>
        <v>82.838488340863904</v>
      </c>
      <c r="J359">
        <f t="shared" ca="1" si="62"/>
        <v>-7.5667330353559545E-4</v>
      </c>
      <c r="K359" s="12">
        <f t="shared" si="57"/>
        <v>106.66635993177587</v>
      </c>
      <c r="L359" s="12">
        <f t="shared" si="58"/>
        <v>0.17315919610245015</v>
      </c>
      <c r="M359" s="12">
        <f t="shared" si="63"/>
        <v>70.464648103332493</v>
      </c>
      <c r="N359" s="12">
        <f t="shared" si="64"/>
        <v>142.86807176021927</v>
      </c>
      <c r="O359" s="14">
        <f t="shared" si="65"/>
        <v>3.6531030702626664E-2</v>
      </c>
      <c r="P359" s="15">
        <f t="shared" si="59"/>
        <v>5.1086588722226755E-3</v>
      </c>
    </row>
    <row r="360" spans="1:16" x14ac:dyDescent="0.3">
      <c r="A360">
        <v>358</v>
      </c>
      <c r="B360" s="3">
        <v>45229</v>
      </c>
      <c r="C360">
        <v>90.3</v>
      </c>
      <c r="D360">
        <v>90.3</v>
      </c>
      <c r="E360">
        <v>87.22</v>
      </c>
      <c r="F360">
        <v>87.45</v>
      </c>
      <c r="G360" s="5">
        <f t="shared" si="60"/>
        <v>-1.4792778102703579E-2</v>
      </c>
      <c r="H360" s="5">
        <f t="shared" ca="1" si="61"/>
        <v>-35.66326607055661</v>
      </c>
      <c r="I360">
        <f t="shared" ca="1" si="56"/>
        <v>83.60296482273435</v>
      </c>
      <c r="J360">
        <f t="shared" ca="1" si="62"/>
        <v>9.1861954251188892E-3</v>
      </c>
      <c r="K360" s="12">
        <f t="shared" si="57"/>
        <v>106.63779592082976</v>
      </c>
      <c r="L360" s="12">
        <f t="shared" si="58"/>
        <v>0.17340515155816119</v>
      </c>
      <c r="M360" s="12">
        <f t="shared" si="63"/>
        <v>70.394371320409448</v>
      </c>
      <c r="N360" s="12">
        <f t="shared" si="64"/>
        <v>142.88122052125007</v>
      </c>
      <c r="O360" s="14">
        <f t="shared" si="65"/>
        <v>4.4367663657111395E-2</v>
      </c>
      <c r="P360" s="15">
        <f t="shared" si="59"/>
        <v>7.4220544731320639E-3</v>
      </c>
    </row>
    <row r="361" spans="1:16" x14ac:dyDescent="0.3">
      <c r="A361">
        <v>359</v>
      </c>
      <c r="B361" s="3">
        <v>45230</v>
      </c>
      <c r="C361">
        <v>87.81</v>
      </c>
      <c r="D361">
        <v>88.53</v>
      </c>
      <c r="E361">
        <v>87.42</v>
      </c>
      <c r="F361">
        <v>87.41</v>
      </c>
      <c r="G361" s="5">
        <f t="shared" si="60"/>
        <v>-1.9869357862455452E-4</v>
      </c>
      <c r="H361" s="5">
        <f t="shared" ca="1" si="61"/>
        <v>-36.245889990777471</v>
      </c>
      <c r="I361">
        <f t="shared" ca="1" si="56"/>
        <v>83.157591844658711</v>
      </c>
      <c r="J361">
        <f t="shared" ca="1" si="62"/>
        <v>-5.341479375002684E-3</v>
      </c>
      <c r="K361" s="12">
        <f t="shared" si="57"/>
        <v>106.60923955899365</v>
      </c>
      <c r="L361" s="12">
        <f t="shared" si="58"/>
        <v>0.17365077895941006</v>
      </c>
      <c r="M361" s="12">
        <f t="shared" si="63"/>
        <v>70.324195671362034</v>
      </c>
      <c r="N361" s="12">
        <f t="shared" si="64"/>
        <v>142.89428344662525</v>
      </c>
      <c r="O361" s="14">
        <f t="shared" si="65"/>
        <v>4.4414633366396006E-2</v>
      </c>
      <c r="P361" s="15">
        <f t="shared" si="59"/>
        <v>7.4362553814845602E-3</v>
      </c>
    </row>
    <row r="362" spans="1:16" x14ac:dyDescent="0.3">
      <c r="A362">
        <v>360</v>
      </c>
      <c r="B362" s="3">
        <v>45231</v>
      </c>
      <c r="C362">
        <v>85.45</v>
      </c>
      <c r="D362">
        <v>87.22</v>
      </c>
      <c r="E362">
        <v>84.56</v>
      </c>
      <c r="F362">
        <v>84.63</v>
      </c>
      <c r="G362" s="5">
        <f t="shared" si="60"/>
        <v>-1.40367793610421E-2</v>
      </c>
      <c r="H362" s="5">
        <f t="shared" ca="1" si="61"/>
        <v>-35.791429752762184</v>
      </c>
      <c r="I362">
        <f t="shared" ca="1" si="56"/>
        <v>83.498638837842023</v>
      </c>
      <c r="J362">
        <f t="shared" ca="1" si="62"/>
        <v>4.0928259071507682E-3</v>
      </c>
      <c r="K362" s="12">
        <f t="shared" si="57"/>
        <v>106.58069084421922</v>
      </c>
      <c r="L362" s="12">
        <f t="shared" si="58"/>
        <v>0.17389607969800075</v>
      </c>
      <c r="M362" s="12">
        <f t="shared" si="63"/>
        <v>70.254120797963154</v>
      </c>
      <c r="N362" s="12">
        <f t="shared" si="64"/>
        <v>142.9072608904753</v>
      </c>
      <c r="O362" s="14">
        <f t="shared" si="65"/>
        <v>5.1960013144214633E-2</v>
      </c>
      <c r="P362" s="15">
        <f t="shared" si="59"/>
        <v>1.0030861792115158E-2</v>
      </c>
    </row>
    <row r="363" spans="1:16" x14ac:dyDescent="0.3">
      <c r="A363">
        <v>361</v>
      </c>
      <c r="B363" s="3">
        <v>45232</v>
      </c>
      <c r="C363">
        <v>84.94</v>
      </c>
      <c r="D363">
        <v>87.03</v>
      </c>
      <c r="E363">
        <v>84.61</v>
      </c>
      <c r="F363">
        <v>86.85</v>
      </c>
      <c r="G363" s="5">
        <f t="shared" si="60"/>
        <v>1.1245481908088748E-2</v>
      </c>
      <c r="H363" s="5">
        <f t="shared" ca="1" si="61"/>
        <v>-36.085241980806984</v>
      </c>
      <c r="I363">
        <f t="shared" ca="1" si="56"/>
        <v>83.272316353054705</v>
      </c>
      <c r="J363">
        <f t="shared" ca="1" si="62"/>
        <v>-2.7141731420366353E-3</v>
      </c>
      <c r="K363" s="12">
        <f t="shared" si="57"/>
        <v>106.55214977445866</v>
      </c>
      <c r="L363" s="12">
        <f t="shared" si="58"/>
        <v>0.17414105515605349</v>
      </c>
      <c r="M363" s="12">
        <f t="shared" si="63"/>
        <v>70.184146344353294</v>
      </c>
      <c r="N363" s="12">
        <f t="shared" si="64"/>
        <v>142.920153204564</v>
      </c>
      <c r="O363" s="14">
        <f t="shared" si="65"/>
        <v>4.5798316308118099E-2</v>
      </c>
      <c r="P363" s="15">
        <f t="shared" si="59"/>
        <v>7.8840891598774936E-3</v>
      </c>
    </row>
    <row r="364" spans="1:16" x14ac:dyDescent="0.3">
      <c r="A364">
        <v>362</v>
      </c>
      <c r="B364" s="3">
        <v>45233</v>
      </c>
      <c r="C364">
        <v>86.86</v>
      </c>
      <c r="D364">
        <v>87.78</v>
      </c>
      <c r="E364">
        <v>84.55</v>
      </c>
      <c r="F364">
        <v>84.89</v>
      </c>
      <c r="G364" s="5">
        <f t="shared" si="60"/>
        <v>-9.9132892012067219E-3</v>
      </c>
      <c r="H364" s="5">
        <f t="shared" ca="1" si="61"/>
        <v>-37.104065525591224</v>
      </c>
      <c r="I364">
        <f t="shared" ca="1" si="56"/>
        <v>82.500684528136162</v>
      </c>
      <c r="J364">
        <f t="shared" ca="1" si="62"/>
        <v>-9.3095666217414014E-3</v>
      </c>
      <c r="K364" s="12">
        <f t="shared" si="57"/>
        <v>106.52361634766473</v>
      </c>
      <c r="L364" s="12">
        <f t="shared" si="58"/>
        <v>0.17438570670609488</v>
      </c>
      <c r="M364" s="12">
        <f t="shared" si="63"/>
        <v>70.114271957018914</v>
      </c>
      <c r="N364" s="12">
        <f t="shared" si="64"/>
        <v>142.93296073831053</v>
      </c>
      <c r="O364" s="14">
        <f t="shared" si="65"/>
        <v>5.111285701662012E-2</v>
      </c>
      <c r="P364" s="15">
        <f t="shared" si="59"/>
        <v>9.7198635233658511E-3</v>
      </c>
    </row>
    <row r="365" spans="1:16" x14ac:dyDescent="0.3">
      <c r="A365">
        <v>363</v>
      </c>
      <c r="B365" s="3">
        <v>45236</v>
      </c>
      <c r="C365">
        <v>85.39</v>
      </c>
      <c r="D365">
        <v>86.45</v>
      </c>
      <c r="E365">
        <v>84.91</v>
      </c>
      <c r="F365">
        <v>85.18</v>
      </c>
      <c r="G365" s="5">
        <f t="shared" si="60"/>
        <v>1.4811021558193698E-3</v>
      </c>
      <c r="H365" s="5">
        <f t="shared" ca="1" si="61"/>
        <v>-37.090069736821029</v>
      </c>
      <c r="I365">
        <f t="shared" ca="1" si="56"/>
        <v>82.507775086274805</v>
      </c>
      <c r="J365">
        <f t="shared" ca="1" si="62"/>
        <v>8.5941753041902228E-5</v>
      </c>
      <c r="K365" s="12">
        <f t="shared" si="57"/>
        <v>106.49509056179072</v>
      </c>
      <c r="L365" s="12">
        <f t="shared" si="58"/>
        <v>0.17463003571115504</v>
      </c>
      <c r="M365" s="12">
        <f t="shared" si="63"/>
        <v>70.044497284769051</v>
      </c>
      <c r="N365" s="12">
        <f t="shared" si="64"/>
        <v>142.94568383881239</v>
      </c>
      <c r="O365" s="14">
        <f t="shared" si="65"/>
        <v>5.0246107037405577E-2</v>
      </c>
      <c r="P365" s="15">
        <f t="shared" si="59"/>
        <v>9.4074386487193549E-3</v>
      </c>
    </row>
    <row r="366" spans="1:16" x14ac:dyDescent="0.3">
      <c r="A366">
        <v>364</v>
      </c>
      <c r="B366" s="3">
        <v>45237</v>
      </c>
      <c r="C366">
        <v>85.23</v>
      </c>
      <c r="D366">
        <v>85.32</v>
      </c>
      <c r="E366">
        <v>81.42</v>
      </c>
      <c r="F366">
        <v>81.61</v>
      </c>
      <c r="G366" s="5">
        <f t="shared" si="60"/>
        <v>-1.859425788179838E-2</v>
      </c>
      <c r="H366" s="5">
        <f t="shared" ca="1" si="61"/>
        <v>-36.219068384574655</v>
      </c>
      <c r="I366">
        <f t="shared" ca="1" si="56"/>
        <v>83.160677756777702</v>
      </c>
      <c r="J366">
        <f t="shared" ca="1" si="62"/>
        <v>7.8820806200065163E-3</v>
      </c>
      <c r="K366" s="12">
        <f t="shared" si="57"/>
        <v>106.46657241479048</v>
      </c>
      <c r="L366" s="12">
        <f t="shared" si="58"/>
        <v>0.17487404352485422</v>
      </c>
      <c r="M366" s="12">
        <f t="shared" si="63"/>
        <v>69.974821978714488</v>
      </c>
      <c r="N366" s="12">
        <f t="shared" si="64"/>
        <v>142.95832285086644</v>
      </c>
      <c r="O366" s="14">
        <f t="shared" si="65"/>
        <v>6.0400311096040001E-2</v>
      </c>
      <c r="P366" s="15">
        <f t="shared" si="59"/>
        <v>1.3333296595491172E-2</v>
      </c>
    </row>
    <row r="367" spans="1:16" x14ac:dyDescent="0.3">
      <c r="A367">
        <v>365</v>
      </c>
      <c r="B367" s="3">
        <v>45238</v>
      </c>
      <c r="C367">
        <v>81.47</v>
      </c>
      <c r="D367">
        <v>81.93</v>
      </c>
      <c r="E367">
        <v>79.16</v>
      </c>
      <c r="F367">
        <v>79.540000000000006</v>
      </c>
      <c r="G367" s="5">
        <f t="shared" si="60"/>
        <v>-1.1157791205970135E-2</v>
      </c>
      <c r="H367" s="5">
        <f t="shared" ca="1" si="61"/>
        <v>-35.428157889872757</v>
      </c>
      <c r="I367">
        <f t="shared" ca="1" si="56"/>
        <v>83.757700344176641</v>
      </c>
      <c r="J367">
        <f t="shared" ca="1" si="62"/>
        <v>7.1534978966243347E-3</v>
      </c>
      <c r="K367" s="12">
        <f t="shared" si="57"/>
        <v>106.43806190461844</v>
      </c>
      <c r="L367" s="12">
        <f t="shared" si="58"/>
        <v>0.17511773149149781</v>
      </c>
      <c r="M367" s="12">
        <f t="shared" si="63"/>
        <v>69.905245692245188</v>
      </c>
      <c r="N367" s="12">
        <f t="shared" si="64"/>
        <v>142.97087811699168</v>
      </c>
      <c r="O367" s="14">
        <f t="shared" si="65"/>
        <v>6.6564416917493541E-2</v>
      </c>
      <c r="P367" s="15">
        <f t="shared" si="59"/>
        <v>1.6005127087726428E-2</v>
      </c>
    </row>
    <row r="368" spans="1:16" x14ac:dyDescent="0.3">
      <c r="A368">
        <v>366</v>
      </c>
      <c r="B368" s="3">
        <v>45239</v>
      </c>
      <c r="C368">
        <v>79.78</v>
      </c>
      <c r="D368">
        <v>81.48</v>
      </c>
      <c r="E368">
        <v>79.44</v>
      </c>
      <c r="F368">
        <v>80.010000000000005</v>
      </c>
      <c r="G368" s="5">
        <f t="shared" si="60"/>
        <v>2.5586837595770284E-3</v>
      </c>
      <c r="H368" s="5">
        <f t="shared" ca="1" si="61"/>
        <v>-36.866155964884157</v>
      </c>
      <c r="I368">
        <f t="shared" ca="1" si="56"/>
        <v>82.665747087371329</v>
      </c>
      <c r="J368">
        <f t="shared" ca="1" si="62"/>
        <v>-1.3122777394714933E-2</v>
      </c>
      <c r="K368" s="12">
        <f t="shared" si="57"/>
        <v>106.40955902922951</v>
      </c>
      <c r="L368" s="12">
        <f t="shared" si="58"/>
        <v>0.17536110094616314</v>
      </c>
      <c r="M368" s="12">
        <f t="shared" si="63"/>
        <v>69.835768081009121</v>
      </c>
      <c r="N368" s="12">
        <f t="shared" si="64"/>
        <v>142.9833499774499</v>
      </c>
      <c r="O368" s="14">
        <f t="shared" si="65"/>
        <v>6.5069356514840193E-2</v>
      </c>
      <c r="P368" s="15">
        <f t="shared" si="59"/>
        <v>1.5335447285337679E-2</v>
      </c>
    </row>
    <row r="369" spans="1:16" x14ac:dyDescent="0.3">
      <c r="A369">
        <v>367</v>
      </c>
      <c r="B369" s="3">
        <v>45240</v>
      </c>
      <c r="C369">
        <v>79.7</v>
      </c>
      <c r="D369">
        <v>82.05</v>
      </c>
      <c r="E369">
        <v>79.61</v>
      </c>
      <c r="F369">
        <v>81.430000000000007</v>
      </c>
      <c r="G369" s="5">
        <f t="shared" si="60"/>
        <v>7.6401643832985627E-3</v>
      </c>
      <c r="H369" s="5">
        <f t="shared" ca="1" si="61"/>
        <v>-37.851689222050091</v>
      </c>
      <c r="I369">
        <f t="shared" ca="1" si="56"/>
        <v>81.924542241168183</v>
      </c>
      <c r="J369">
        <f t="shared" ca="1" si="62"/>
        <v>-9.0067264579730844E-3</v>
      </c>
      <c r="K369" s="12">
        <f t="shared" si="57"/>
        <v>106.3810637865792</v>
      </c>
      <c r="L369" s="12">
        <f t="shared" si="58"/>
        <v>0.17560415321478956</v>
      </c>
      <c r="M369" s="12">
        <f t="shared" si="63"/>
        <v>69.76638880289093</v>
      </c>
      <c r="N369" s="12">
        <f t="shared" si="64"/>
        <v>142.99573877026748</v>
      </c>
      <c r="O369" s="14">
        <f t="shared" si="65"/>
        <v>6.0749863745160913E-2</v>
      </c>
      <c r="P369" s="15">
        <f t="shared" si="59"/>
        <v>1.3474541804989915E-2</v>
      </c>
    </row>
    <row r="370" spans="1:16" x14ac:dyDescent="0.3">
      <c r="A370">
        <v>368</v>
      </c>
      <c r="B370" s="3">
        <v>45243</v>
      </c>
      <c r="C370">
        <v>81.45</v>
      </c>
      <c r="D370">
        <v>82.82</v>
      </c>
      <c r="E370">
        <v>80.41</v>
      </c>
      <c r="F370">
        <v>82.52</v>
      </c>
      <c r="G370" s="5">
        <f t="shared" si="60"/>
        <v>5.7747845082767053E-3</v>
      </c>
      <c r="H370" s="5">
        <f t="shared" ca="1" si="61"/>
        <v>-38.148230055016015</v>
      </c>
      <c r="I370">
        <f t="shared" ca="1" si="56"/>
        <v>81.700458341284204</v>
      </c>
      <c r="J370">
        <f t="shared" ca="1" si="62"/>
        <v>-2.7389951312799723E-3</v>
      </c>
      <c r="K370" s="12">
        <f t="shared" si="57"/>
        <v>106.35257617462355</v>
      </c>
      <c r="L370" s="12">
        <f t="shared" si="58"/>
        <v>0.1758468896142634</v>
      </c>
      <c r="M370" s="12">
        <f t="shared" si="63"/>
        <v>69.697107517991284</v>
      </c>
      <c r="N370" s="12">
        <f t="shared" si="64"/>
        <v>143.0080448312558</v>
      </c>
      <c r="O370" s="14">
        <f t="shared" si="65"/>
        <v>5.7493029098692486E-2</v>
      </c>
      <c r="P370" s="15">
        <f t="shared" si="59"/>
        <v>1.2141570535760858E-2</v>
      </c>
    </row>
    <row r="371" spans="1:16" x14ac:dyDescent="0.3">
      <c r="A371">
        <v>369</v>
      </c>
      <c r="B371" s="3">
        <v>45244</v>
      </c>
      <c r="C371">
        <v>82.75</v>
      </c>
      <c r="D371">
        <v>83.97</v>
      </c>
      <c r="E371">
        <v>82.05</v>
      </c>
      <c r="F371">
        <v>82.47</v>
      </c>
      <c r="G371" s="5">
        <f t="shared" si="60"/>
        <v>-2.632247379830378E-4</v>
      </c>
      <c r="H371" s="5">
        <f t="shared" ca="1" si="61"/>
        <v>-38.078930357039745</v>
      </c>
      <c r="I371">
        <f t="shared" ca="1" si="56"/>
        <v>81.748597256518451</v>
      </c>
      <c r="J371">
        <f t="shared" ca="1" si="62"/>
        <v>5.8903878581708041E-4</v>
      </c>
      <c r="K371" s="12">
        <f t="shared" si="57"/>
        <v>106.32409619131914</v>
      </c>
      <c r="L371" s="12">
        <f t="shared" si="58"/>
        <v>0.17608931145250567</v>
      </c>
      <c r="M371" s="12">
        <f t="shared" si="63"/>
        <v>69.627923888605991</v>
      </c>
      <c r="N371" s="12">
        <f t="shared" si="64"/>
        <v>143.02026849403231</v>
      </c>
      <c r="O371" s="14">
        <f t="shared" si="65"/>
        <v>5.7577590011436114E-2</v>
      </c>
      <c r="P371" s="15">
        <f t="shared" si="59"/>
        <v>1.2173967823337477E-2</v>
      </c>
    </row>
    <row r="372" spans="1:16" x14ac:dyDescent="0.3">
      <c r="A372">
        <v>370</v>
      </c>
      <c r="B372" s="3">
        <v>45245</v>
      </c>
      <c r="C372">
        <v>82.38</v>
      </c>
      <c r="D372">
        <v>83.01</v>
      </c>
      <c r="E372">
        <v>80.8</v>
      </c>
      <c r="F372">
        <v>81.180000000000007</v>
      </c>
      <c r="G372" s="5">
        <f t="shared" si="60"/>
        <v>-6.846947581864246E-3</v>
      </c>
      <c r="H372" s="5">
        <f t="shared" ca="1" si="61"/>
        <v>-36.962044024312775</v>
      </c>
      <c r="I372">
        <f t="shared" ca="1" si="56"/>
        <v>82.580001224499853</v>
      </c>
      <c r="J372">
        <f t="shared" ca="1" si="62"/>
        <v>1.0118884597511705E-2</v>
      </c>
      <c r="K372" s="12">
        <f t="shared" si="57"/>
        <v>106.29562383462311</v>
      </c>
      <c r="L372" s="12">
        <f t="shared" si="58"/>
        <v>0.1763314200285574</v>
      </c>
      <c r="M372" s="12">
        <f t="shared" si="63"/>
        <v>69.558837579205402</v>
      </c>
      <c r="N372" s="12">
        <f t="shared" si="64"/>
        <v>143.03241009004083</v>
      </c>
      <c r="O372" s="14">
        <f t="shared" si="65"/>
        <v>6.1308961501400965E-2</v>
      </c>
      <c r="P372" s="15">
        <f t="shared" si="59"/>
        <v>1.3704527518546002E-2</v>
      </c>
    </row>
    <row r="373" spans="1:16" x14ac:dyDescent="0.3">
      <c r="A373">
        <v>371</v>
      </c>
      <c r="B373" s="3">
        <v>45246</v>
      </c>
      <c r="C373">
        <v>80.94</v>
      </c>
      <c r="D373">
        <v>81.16</v>
      </c>
      <c r="E373">
        <v>76.599999999999994</v>
      </c>
      <c r="F373">
        <v>77.42</v>
      </c>
      <c r="G373" s="5">
        <f t="shared" si="60"/>
        <v>-2.0595879998330367E-2</v>
      </c>
      <c r="H373" s="5">
        <f t="shared" ca="1" si="61"/>
        <v>-36.925820152574637</v>
      </c>
      <c r="I373">
        <f t="shared" ca="1" si="56"/>
        <v>82.603800044743082</v>
      </c>
      <c r="J373">
        <f t="shared" ca="1" si="62"/>
        <v>2.8814956702804612E-4</v>
      </c>
      <c r="K373" s="12">
        <f t="shared" si="57"/>
        <v>106.26715910249315</v>
      </c>
      <c r="L373" s="12">
        <f t="shared" si="58"/>
        <v>0.17657321663266237</v>
      </c>
      <c r="M373" s="12">
        <f t="shared" si="63"/>
        <v>69.489848256414589</v>
      </c>
      <c r="N373" s="12">
        <f t="shared" si="64"/>
        <v>143.04446994857173</v>
      </c>
      <c r="O373" s="14">
        <f t="shared" si="65"/>
        <v>7.2819796650036808E-2</v>
      </c>
      <c r="P373" s="15">
        <f t="shared" si="59"/>
        <v>1.8918875575539031E-2</v>
      </c>
    </row>
    <row r="374" spans="1:16" x14ac:dyDescent="0.3">
      <c r="A374">
        <v>372</v>
      </c>
      <c r="B374" s="3">
        <v>45247</v>
      </c>
      <c r="C374">
        <v>77.53</v>
      </c>
      <c r="D374">
        <v>80.8</v>
      </c>
      <c r="E374">
        <v>77.28</v>
      </c>
      <c r="F374">
        <v>80.61</v>
      </c>
      <c r="G374" s="5">
        <f t="shared" si="60"/>
        <v>1.7535754169894585E-2</v>
      </c>
      <c r="H374" s="5">
        <f t="shared" ca="1" si="61"/>
        <v>-36.132604777596043</v>
      </c>
      <c r="I374">
        <f t="shared" ca="1" si="56"/>
        <v>83.198569164393675</v>
      </c>
      <c r="J374">
        <f t="shared" ca="1" si="62"/>
        <v>7.1744652829221992E-3</v>
      </c>
      <c r="K374" s="12">
        <f t="shared" si="57"/>
        <v>106.23870199288751</v>
      </c>
      <c r="L374" s="12">
        <f t="shared" si="58"/>
        <v>0.17681470254635073</v>
      </c>
      <c r="M374" s="12">
        <f t="shared" si="63"/>
        <v>69.420955588993209</v>
      </c>
      <c r="N374" s="12">
        <f t="shared" si="64"/>
        <v>143.0564483967818</v>
      </c>
      <c r="O374" s="14">
        <f t="shared" si="65"/>
        <v>6.2890543180435063E-2</v>
      </c>
      <c r="P374" s="15">
        <f t="shared" si="59"/>
        <v>1.4374531614528868E-2</v>
      </c>
    </row>
    <row r="375" spans="1:16" x14ac:dyDescent="0.3">
      <c r="A375">
        <v>373</v>
      </c>
      <c r="B375" s="3">
        <v>45250</v>
      </c>
      <c r="C375">
        <v>80.47</v>
      </c>
      <c r="D375">
        <v>82.93</v>
      </c>
      <c r="E375">
        <v>79.97</v>
      </c>
      <c r="F375">
        <v>82.32</v>
      </c>
      <c r="G375" s="5">
        <f t="shared" si="60"/>
        <v>9.1164406015456067E-3</v>
      </c>
      <c r="H375" s="5">
        <f t="shared" ca="1" si="61"/>
        <v>-36.732430117322231</v>
      </c>
      <c r="I375">
        <f t="shared" ca="1" si="56"/>
        <v>82.742401913536938</v>
      </c>
      <c r="J375">
        <f t="shared" ca="1" si="62"/>
        <v>-5.497959870448238E-3</v>
      </c>
      <c r="K375" s="12">
        <f t="shared" si="57"/>
        <v>106.21025250376492</v>
      </c>
      <c r="L375" s="12">
        <f t="shared" si="58"/>
        <v>0.1770558790425229</v>
      </c>
      <c r="M375" s="12">
        <f t="shared" si="63"/>
        <v>69.352159247815379</v>
      </c>
      <c r="N375" s="12">
        <f t="shared" si="64"/>
        <v>143.06834575971445</v>
      </c>
      <c r="O375" s="14">
        <f t="shared" si="65"/>
        <v>5.7771218909275689E-2</v>
      </c>
      <c r="P375" s="15">
        <f t="shared" si="59"/>
        <v>1.2245874532882292E-2</v>
      </c>
    </row>
    <row r="376" spans="1:16" x14ac:dyDescent="0.3">
      <c r="A376">
        <v>374</v>
      </c>
      <c r="B376" s="3">
        <v>45251</v>
      </c>
      <c r="C376">
        <v>82.13</v>
      </c>
      <c r="D376">
        <v>82.53</v>
      </c>
      <c r="E376">
        <v>81.41</v>
      </c>
      <c r="F376">
        <v>82.45</v>
      </c>
      <c r="G376" s="5">
        <f t="shared" si="60"/>
        <v>6.852982261610932E-4</v>
      </c>
      <c r="H376" s="5">
        <f t="shared" ca="1" si="61"/>
        <v>-39.099983844256968</v>
      </c>
      <c r="I376">
        <f t="shared" ca="1" si="56"/>
        <v>80.976038449574304</v>
      </c>
      <c r="J376">
        <f t="shared" ca="1" si="62"/>
        <v>-2.1578900967088522E-2</v>
      </c>
      <c r="K376" s="12">
        <f t="shared" si="57"/>
        <v>106.18181063308472</v>
      </c>
      <c r="L376" s="12">
        <f t="shared" si="58"/>
        <v>0.177296747385527</v>
      </c>
      <c r="M376" s="12">
        <f t="shared" si="63"/>
        <v>69.283458905851035</v>
      </c>
      <c r="N376" s="12">
        <f t="shared" si="64"/>
        <v>143.08016236031841</v>
      </c>
      <c r="O376" s="14">
        <f t="shared" si="65"/>
        <v>5.7332221191205436E-2</v>
      </c>
      <c r="P376" s="15">
        <f t="shared" si="59"/>
        <v>1.2069102437346581E-2</v>
      </c>
    </row>
    <row r="377" spans="1:16" x14ac:dyDescent="0.3">
      <c r="A377">
        <v>375</v>
      </c>
      <c r="B377" s="3">
        <v>45252</v>
      </c>
      <c r="C377">
        <v>82.4</v>
      </c>
      <c r="D377">
        <v>82.63</v>
      </c>
      <c r="E377">
        <v>78.41</v>
      </c>
      <c r="F377">
        <v>81.96</v>
      </c>
      <c r="G377" s="5">
        <f t="shared" si="60"/>
        <v>-2.5887102513802332E-3</v>
      </c>
      <c r="H377" s="5">
        <f t="shared" ca="1" si="61"/>
        <v>-36.940013412435164</v>
      </c>
      <c r="I377">
        <f t="shared" ca="1" si="56"/>
        <v>82.579466526406108</v>
      </c>
      <c r="J377">
        <f t="shared" ca="1" si="62"/>
        <v>1.9607771056405994E-2</v>
      </c>
      <c r="K377" s="12">
        <f t="shared" si="57"/>
        <v>106.1533763788068</v>
      </c>
      <c r="L377" s="12">
        <f t="shared" si="58"/>
        <v>0.17753730883124183</v>
      </c>
      <c r="M377" s="12">
        <f t="shared" si="63"/>
        <v>69.214854238145989</v>
      </c>
      <c r="N377" s="12">
        <f t="shared" si="64"/>
        <v>143.09189851946761</v>
      </c>
      <c r="O377" s="14">
        <f t="shared" si="65"/>
        <v>5.8701791374475294E-2</v>
      </c>
      <c r="P377" s="15">
        <f t="shared" si="59"/>
        <v>1.2618447316271311E-2</v>
      </c>
    </row>
    <row r="378" spans="1:16" x14ac:dyDescent="0.3">
      <c r="A378">
        <v>376</v>
      </c>
      <c r="B378" s="3">
        <v>45254</v>
      </c>
      <c r="C378">
        <v>81.63</v>
      </c>
      <c r="D378">
        <v>82.2</v>
      </c>
      <c r="E378">
        <v>80.180000000000007</v>
      </c>
      <c r="F378">
        <v>80.58</v>
      </c>
      <c r="G378" s="5">
        <f t="shared" si="60"/>
        <v>-7.3746866767983718E-3</v>
      </c>
      <c r="H378" s="5">
        <f t="shared" ca="1" si="61"/>
        <v>-37.401279608343536</v>
      </c>
      <c r="I378">
        <f t="shared" ca="1" si="56"/>
        <v>82.23027690550569</v>
      </c>
      <c r="J378">
        <f t="shared" ca="1" si="62"/>
        <v>-4.237493926551923E-3</v>
      </c>
      <c r="K378" s="12">
        <f t="shared" si="57"/>
        <v>106.12494973889154</v>
      </c>
      <c r="L378" s="12">
        <f t="shared" si="58"/>
        <v>0.1777775646271543</v>
      </c>
      <c r="M378" s="12">
        <f t="shared" si="63"/>
        <v>69.146344921803333</v>
      </c>
      <c r="N378" s="12">
        <f t="shared" si="64"/>
        <v>143.10355455597974</v>
      </c>
      <c r="O378" s="14">
        <f t="shared" si="65"/>
        <v>6.2736609025818832E-2</v>
      </c>
      <c r="P378" s="15">
        <f t="shared" si="59"/>
        <v>1.4301824191704901E-2</v>
      </c>
    </row>
    <row r="379" spans="1:16" x14ac:dyDescent="0.3">
      <c r="A379">
        <v>377</v>
      </c>
      <c r="B379" s="3">
        <v>45257</v>
      </c>
      <c r="C379">
        <v>80.34</v>
      </c>
      <c r="D379">
        <v>81.180000000000007</v>
      </c>
      <c r="E379">
        <v>79.13</v>
      </c>
      <c r="F379">
        <v>79.98</v>
      </c>
      <c r="G379" s="5">
        <f t="shared" si="60"/>
        <v>-3.2458632548561278E-3</v>
      </c>
      <c r="H379" s="5">
        <f t="shared" ca="1" si="61"/>
        <v>-38.480773011764185</v>
      </c>
      <c r="I379">
        <f t="shared" ca="1" si="56"/>
        <v>81.423350169081331</v>
      </c>
      <c r="J379">
        <f t="shared" ca="1" si="62"/>
        <v>-9.8614774413749457E-3</v>
      </c>
      <c r="K379" s="12">
        <f t="shared" si="57"/>
        <v>106.09653071129995</v>
      </c>
      <c r="L379" s="12">
        <f t="shared" si="58"/>
        <v>0.17801751601243868</v>
      </c>
      <c r="M379" s="12">
        <f t="shared" si="63"/>
        <v>69.077930635964407</v>
      </c>
      <c r="N379" s="12">
        <f t="shared" si="64"/>
        <v>143.11513078663546</v>
      </c>
      <c r="O379" s="14">
        <f t="shared" si="65"/>
        <v>6.4488167460423448E-2</v>
      </c>
      <c r="P379" s="15">
        <f t="shared" si="59"/>
        <v>1.50601451847801E-2</v>
      </c>
    </row>
    <row r="380" spans="1:16" x14ac:dyDescent="0.3">
      <c r="A380">
        <v>378</v>
      </c>
      <c r="B380" s="3">
        <v>45258</v>
      </c>
      <c r="C380">
        <v>80.14</v>
      </c>
      <c r="D380">
        <v>82.18</v>
      </c>
      <c r="E380">
        <v>79.83</v>
      </c>
      <c r="F380">
        <v>81.680000000000007</v>
      </c>
      <c r="G380" s="5">
        <f t="shared" si="60"/>
        <v>9.1343292813510502E-3</v>
      </c>
      <c r="H380" s="5">
        <f t="shared" ca="1" si="61"/>
        <v>-40.435475499286888</v>
      </c>
      <c r="I380">
        <f t="shared" ca="1" si="56"/>
        <v>79.984980725479758</v>
      </c>
      <c r="J380">
        <f t="shared" ca="1" si="62"/>
        <v>-1.7823212870036645E-2</v>
      </c>
      <c r="K380" s="12">
        <f t="shared" si="57"/>
        <v>106.0681192939935</v>
      </c>
      <c r="L380" s="12">
        <f t="shared" si="58"/>
        <v>0.17825716421803395</v>
      </c>
      <c r="M380" s="12">
        <f t="shared" si="63"/>
        <v>69.009611061790167</v>
      </c>
      <c r="N380" s="12">
        <f t="shared" si="64"/>
        <v>143.12662752619684</v>
      </c>
      <c r="O380" s="14">
        <f t="shared" si="65"/>
        <v>5.9342192310926717E-2</v>
      </c>
      <c r="P380" s="15">
        <f t="shared" si="59"/>
        <v>1.2875245577055994E-2</v>
      </c>
    </row>
    <row r="381" spans="1:16" x14ac:dyDescent="0.3">
      <c r="A381">
        <v>379</v>
      </c>
      <c r="B381" s="3">
        <v>45259</v>
      </c>
      <c r="C381">
        <v>81.93</v>
      </c>
      <c r="D381">
        <v>83.24</v>
      </c>
      <c r="E381">
        <v>80.959999999999994</v>
      </c>
      <c r="F381">
        <v>83.1</v>
      </c>
      <c r="G381" s="5">
        <f t="shared" si="60"/>
        <v>7.4852947052570732E-3</v>
      </c>
      <c r="H381" s="5">
        <f t="shared" ca="1" si="61"/>
        <v>-40.703195944628526</v>
      </c>
      <c r="I381">
        <f t="shared" ca="1" si="56"/>
        <v>79.787117667148522</v>
      </c>
      <c r="J381">
        <f t="shared" ca="1" si="62"/>
        <v>-2.4768174352482368E-3</v>
      </c>
      <c r="K381" s="12">
        <f t="shared" si="57"/>
        <v>106.03971548493426</v>
      </c>
      <c r="L381" s="12">
        <f t="shared" si="58"/>
        <v>0.17849651046671819</v>
      </c>
      <c r="M381" s="12">
        <f t="shared" si="63"/>
        <v>68.941385882443257</v>
      </c>
      <c r="N381" s="12">
        <f t="shared" si="64"/>
        <v>143.13804508742527</v>
      </c>
      <c r="O381" s="14">
        <f t="shared" si="65"/>
        <v>5.5150798896051699E-2</v>
      </c>
      <c r="P381" s="15">
        <f t="shared" si="59"/>
        <v>1.1207933913249668E-2</v>
      </c>
    </row>
    <row r="382" spans="1:16" x14ac:dyDescent="0.3">
      <c r="A382">
        <v>380</v>
      </c>
      <c r="B382" s="3">
        <v>45260</v>
      </c>
      <c r="C382">
        <v>82.87</v>
      </c>
      <c r="D382">
        <v>84.71</v>
      </c>
      <c r="E382">
        <v>82.67</v>
      </c>
      <c r="F382">
        <v>82.83</v>
      </c>
      <c r="G382" s="5">
        <f t="shared" si="60"/>
        <v>-1.4133624251853455E-3</v>
      </c>
      <c r="H382" s="5">
        <f t="shared" ca="1" si="61"/>
        <v>-40.538706343987734</v>
      </c>
      <c r="I382">
        <f t="shared" ca="1" si="56"/>
        <v>79.903290566619759</v>
      </c>
      <c r="J382">
        <f t="shared" ca="1" si="62"/>
        <v>1.454976804813337E-3</v>
      </c>
      <c r="K382" s="12">
        <f t="shared" si="57"/>
        <v>106.01131928208483</v>
      </c>
      <c r="L382" s="12">
        <f t="shared" si="58"/>
        <v>0.17873555597318641</v>
      </c>
      <c r="M382" s="12">
        <f t="shared" si="63"/>
        <v>68.873254783069385</v>
      </c>
      <c r="N382" s="12">
        <f t="shared" si="64"/>
        <v>143.14938378110028</v>
      </c>
      <c r="O382" s="14">
        <f t="shared" si="65"/>
        <v>5.5867619222157688E-2</v>
      </c>
      <c r="P382" s="15">
        <f t="shared" si="59"/>
        <v>1.1484246748220983E-2</v>
      </c>
    </row>
    <row r="383" spans="1:16" x14ac:dyDescent="0.3">
      <c r="A383">
        <v>381</v>
      </c>
      <c r="B383" s="3">
        <v>45261</v>
      </c>
      <c r="C383">
        <v>80.47</v>
      </c>
      <c r="D383">
        <v>81.52</v>
      </c>
      <c r="E383">
        <v>78.75</v>
      </c>
      <c r="F383">
        <v>78.88</v>
      </c>
      <c r="G383" s="5">
        <f t="shared" si="60"/>
        <v>-2.1220759425770851E-2</v>
      </c>
      <c r="H383" s="5">
        <f t="shared" ca="1" si="61"/>
        <v>-41.79430923541252</v>
      </c>
      <c r="I383">
        <f t="shared" ca="1" si="56"/>
        <v>78.992546380769397</v>
      </c>
      <c r="J383">
        <f t="shared" ca="1" si="62"/>
        <v>-1.1463537081106099E-2</v>
      </c>
      <c r="K383" s="12">
        <f t="shared" si="57"/>
        <v>105.98293068340834</v>
      </c>
      <c r="L383" s="12">
        <f t="shared" si="58"/>
        <v>0.17897430194412395</v>
      </c>
      <c r="M383" s="12">
        <f t="shared" si="63"/>
        <v>68.805217450779594</v>
      </c>
      <c r="N383" s="12">
        <f t="shared" si="64"/>
        <v>143.16064391603709</v>
      </c>
      <c r="O383" s="14">
        <f t="shared" si="65"/>
        <v>6.7617955046754094E-2</v>
      </c>
      <c r="P383" s="15">
        <f t="shared" si="59"/>
        <v>1.6452942184437856E-2</v>
      </c>
    </row>
    <row r="384" spans="1:16" x14ac:dyDescent="0.3">
      <c r="A384">
        <v>382</v>
      </c>
      <c r="B384" s="3">
        <v>45264</v>
      </c>
      <c r="C384">
        <v>79.430000000000007</v>
      </c>
      <c r="D384">
        <v>79.66</v>
      </c>
      <c r="E384">
        <v>77.52</v>
      </c>
      <c r="F384">
        <v>78.03</v>
      </c>
      <c r="G384" s="5">
        <f t="shared" si="60"/>
        <v>-4.705295017619582E-3</v>
      </c>
      <c r="H384" s="5">
        <f t="shared" ca="1" si="61"/>
        <v>-41.952148568043278</v>
      </c>
      <c r="I384">
        <f t="shared" ca="1" si="56"/>
        <v>78.875942038698668</v>
      </c>
      <c r="J384">
        <f t="shared" ca="1" si="62"/>
        <v>-1.4772341769131671E-3</v>
      </c>
      <c r="K384" s="12">
        <f t="shared" si="57"/>
        <v>105.95454968686849</v>
      </c>
      <c r="L384" s="12">
        <f t="shared" si="58"/>
        <v>0.17921274957827998</v>
      </c>
      <c r="M384" s="12">
        <f t="shared" si="63"/>
        <v>68.73727357463261</v>
      </c>
      <c r="N384" s="12">
        <f t="shared" si="64"/>
        <v>143.17182579910437</v>
      </c>
      <c r="O384" s="14">
        <f t="shared" si="65"/>
        <v>7.0211223778494342E-2</v>
      </c>
      <c r="P384" s="15">
        <f t="shared" si="59"/>
        <v>1.7651248995850497E-2</v>
      </c>
    </row>
    <row r="385" spans="1:16" x14ac:dyDescent="0.3">
      <c r="A385">
        <v>383</v>
      </c>
      <c r="B385" s="3">
        <v>45265</v>
      </c>
      <c r="C385">
        <v>78.2</v>
      </c>
      <c r="D385">
        <v>79.069999999999993</v>
      </c>
      <c r="E385">
        <v>76.98</v>
      </c>
      <c r="F385">
        <v>77.2</v>
      </c>
      <c r="G385" s="5">
        <f t="shared" si="60"/>
        <v>-4.6443065797990117E-3</v>
      </c>
      <c r="H385" s="5">
        <f t="shared" ca="1" si="61"/>
        <v>-41.908962581154348</v>
      </c>
      <c r="I385">
        <f t="shared" ca="1" si="56"/>
        <v>78.903670511333559</v>
      </c>
      <c r="J385">
        <f t="shared" ca="1" si="62"/>
        <v>3.5148359756006706E-4</v>
      </c>
      <c r="K385" s="12">
        <f t="shared" si="57"/>
        <v>105.92617629042952</v>
      </c>
      <c r="L385" s="12">
        <f t="shared" si="58"/>
        <v>0.17945090006654033</v>
      </c>
      <c r="M385" s="12">
        <f t="shared" si="63"/>
        <v>68.669422845617305</v>
      </c>
      <c r="N385" s="12">
        <f t="shared" si="64"/>
        <v>143.18292973524177</v>
      </c>
      <c r="O385" s="14">
        <f t="shared" si="65"/>
        <v>7.2782759036403702E-2</v>
      </c>
      <c r="P385" s="15">
        <f t="shared" si="59"/>
        <v>1.8874911656014674E-2</v>
      </c>
    </row>
    <row r="386" spans="1:16" x14ac:dyDescent="0.3">
      <c r="A386">
        <v>384</v>
      </c>
      <c r="B386" s="3">
        <v>45266</v>
      </c>
      <c r="C386">
        <v>77.06</v>
      </c>
      <c r="D386">
        <v>77.63</v>
      </c>
      <c r="E386">
        <v>74.11</v>
      </c>
      <c r="F386">
        <v>74.3</v>
      </c>
      <c r="G386" s="5">
        <f t="shared" si="60"/>
        <v>-1.6628486575160868E-2</v>
      </c>
      <c r="H386" s="5">
        <f t="shared" ca="1" si="61"/>
        <v>-42.890065087049791</v>
      </c>
      <c r="I386">
        <f t="shared" ref="I386:I449" ca="1" si="66">F$2*EXP((Mu-(0.5*(sigma^2))*A386)+sigma*H386)</f>
        <v>78.199349390465514</v>
      </c>
      <c r="J386">
        <f t="shared" ca="1" si="62"/>
        <v>-8.9664201243133471E-3</v>
      </c>
      <c r="K386" s="12">
        <f t="shared" ref="K386:K449" si="67">($I$2*EXP(Mu*A386))</f>
        <v>105.89781049205622</v>
      </c>
      <c r="L386" s="12">
        <f t="shared" ref="L386:L449" si="68">SQRT(EXP((sigma^2)*A386)-1)</f>
        <v>0.17968875459199934</v>
      </c>
      <c r="M386" s="12">
        <f t="shared" si="63"/>
        <v>68.601664956635418</v>
      </c>
      <c r="N386" s="12">
        <f t="shared" si="64"/>
        <v>143.19395602747704</v>
      </c>
      <c r="O386" s="14">
        <f t="shared" si="65"/>
        <v>8.2254990505261999E-2</v>
      </c>
      <c r="P386" s="15">
        <f t="shared" ref="P386:P449" si="69">(LOG10(F386)-LOG10(K386))^2</f>
        <v>2.3684645840226094E-2</v>
      </c>
    </row>
    <row r="387" spans="1:16" x14ac:dyDescent="0.3">
      <c r="A387">
        <v>385</v>
      </c>
      <c r="B387" s="3">
        <v>45267</v>
      </c>
      <c r="C387">
        <v>74.3</v>
      </c>
      <c r="D387">
        <v>75.48</v>
      </c>
      <c r="E387">
        <v>73.61</v>
      </c>
      <c r="F387">
        <v>74.05</v>
      </c>
      <c r="G387" s="5">
        <f t="shared" ref="G387:G450" si="70">IFERROR(LOG10(F387/F386),0)</f>
        <v>-1.4637509033480086E-3</v>
      </c>
      <c r="H387" s="5">
        <f t="shared" ref="H387:H450" ca="1" si="71">H386+(SQRT(DeltaT)*_xlfn.NORM.S.INV(RAND()))</f>
        <v>-42.774019877303353</v>
      </c>
      <c r="I387">
        <f t="shared" ca="1" si="66"/>
        <v>78.278705702389985</v>
      </c>
      <c r="J387">
        <f t="shared" ref="J387:J450" ca="1" si="72">IFERROR(LN(I387/I386),0)</f>
        <v>1.0142804840031086E-3</v>
      </c>
      <c r="K387" s="12">
        <f t="shared" si="67"/>
        <v>105.86945228971391</v>
      </c>
      <c r="L387" s="12">
        <f t="shared" si="68"/>
        <v>0.17992631433003226</v>
      </c>
      <c r="M387" s="12">
        <f t="shared" ref="M387:M450" si="73">(1-1.96*L387)*K387</f>
        <v>68.533999602484158</v>
      </c>
      <c r="N387" s="12">
        <f t="shared" ref="N387:N450" si="74">(1+1.96*L387)*K387</f>
        <v>143.20490497694365</v>
      </c>
      <c r="O387" s="14">
        <f t="shared" ref="O387:O450" si="75">ABS((LOG10(F387)-LOG10(K387))/LOG10(F387))</f>
        <v>8.3040129555842807E-2</v>
      </c>
      <c r="P387" s="15">
        <f t="shared" si="69"/>
        <v>2.4101197383587021E-2</v>
      </c>
    </row>
    <row r="388" spans="1:16" x14ac:dyDescent="0.3">
      <c r="A388">
        <v>386</v>
      </c>
      <c r="B388" s="3">
        <v>45268</v>
      </c>
      <c r="C388">
        <v>74.5</v>
      </c>
      <c r="D388">
        <v>76.36</v>
      </c>
      <c r="E388">
        <v>74.23</v>
      </c>
      <c r="F388">
        <v>75.84</v>
      </c>
      <c r="G388" s="5">
        <f t="shared" si="70"/>
        <v>1.0373261472782554E-2</v>
      </c>
      <c r="H388" s="5">
        <f t="shared" ca="1" si="71"/>
        <v>-42.753338460516083</v>
      </c>
      <c r="I388">
        <f t="shared" ca="1" si="66"/>
        <v>78.290194774729684</v>
      </c>
      <c r="J388">
        <f t="shared" ca="1" si="72"/>
        <v>1.4676059326351639E-4</v>
      </c>
      <c r="K388" s="12">
        <f t="shared" si="67"/>
        <v>105.84110168136844</v>
      </c>
      <c r="L388" s="12">
        <f t="shared" si="68"/>
        <v>0.18016358044836225</v>
      </c>
      <c r="M388" s="12">
        <f t="shared" si="73"/>
        <v>68.466426479839996</v>
      </c>
      <c r="N388" s="12">
        <f t="shared" si="74"/>
        <v>143.21577688289688</v>
      </c>
      <c r="O388" s="14">
        <f t="shared" si="75"/>
        <v>7.7002051384481823E-2</v>
      </c>
      <c r="P388" s="15">
        <f t="shared" si="69"/>
        <v>2.0954307459266932E-2</v>
      </c>
    </row>
    <row r="389" spans="1:16" x14ac:dyDescent="0.3">
      <c r="A389">
        <v>387</v>
      </c>
      <c r="B389" s="3">
        <v>45271</v>
      </c>
      <c r="C389">
        <v>75.66</v>
      </c>
      <c r="D389">
        <v>76.48</v>
      </c>
      <c r="E389">
        <v>75</v>
      </c>
      <c r="F389">
        <v>76.03</v>
      </c>
      <c r="G389" s="5">
        <f t="shared" si="70"/>
        <v>1.0866661567435997E-3</v>
      </c>
      <c r="H389" s="5">
        <f t="shared" ca="1" si="71"/>
        <v>-41.625160906251836</v>
      </c>
      <c r="I389">
        <f t="shared" ca="1" si="66"/>
        <v>79.094549747567058</v>
      </c>
      <c r="J389">
        <f t="shared" ca="1" si="72"/>
        <v>1.0221600303026133E-2</v>
      </c>
      <c r="K389" s="12">
        <f t="shared" si="67"/>
        <v>105.81275866498625</v>
      </c>
      <c r="L389" s="12">
        <f t="shared" si="68"/>
        <v>0.18040055410713368</v>
      </c>
      <c r="M389" s="12">
        <f t="shared" si="73"/>
        <v>68.398945287241105</v>
      </c>
      <c r="N389" s="12">
        <f t="shared" si="74"/>
        <v>143.22657204273139</v>
      </c>
      <c r="O389" s="14">
        <f t="shared" si="75"/>
        <v>7.6318018139343469E-2</v>
      </c>
      <c r="P389" s="15">
        <f t="shared" si="69"/>
        <v>2.0607477194975143E-2</v>
      </c>
    </row>
    <row r="390" spans="1:16" x14ac:dyDescent="0.3">
      <c r="A390">
        <v>388</v>
      </c>
      <c r="B390" s="3">
        <v>45272</v>
      </c>
      <c r="C390">
        <v>76.25</v>
      </c>
      <c r="D390">
        <v>76.64</v>
      </c>
      <c r="E390">
        <v>72.86</v>
      </c>
      <c r="F390">
        <v>73.239999999999995</v>
      </c>
      <c r="G390" s="5">
        <f t="shared" si="70"/>
        <v>-1.6236654857094614E-2</v>
      </c>
      <c r="H390" s="5">
        <f t="shared" ca="1" si="71"/>
        <v>-42.380894058719591</v>
      </c>
      <c r="I390">
        <f t="shared" ca="1" si="66"/>
        <v>78.549399766360466</v>
      </c>
      <c r="J390">
        <f t="shared" ca="1" si="72"/>
        <v>-6.9162458307492417E-3</v>
      </c>
      <c r="K390" s="12">
        <f t="shared" si="67"/>
        <v>105.7844232385343</v>
      </c>
      <c r="L390" s="12">
        <f t="shared" si="68"/>
        <v>0.18063723645897869</v>
      </c>
      <c r="M390" s="12">
        <f t="shared" si="73"/>
        <v>68.331555725071325</v>
      </c>
      <c r="N390" s="12">
        <f t="shared" si="74"/>
        <v>143.23729075199728</v>
      </c>
      <c r="O390" s="14">
        <f t="shared" si="75"/>
        <v>8.5627311655362789E-2</v>
      </c>
      <c r="P390" s="15">
        <f t="shared" si="69"/>
        <v>2.5495590482130709E-2</v>
      </c>
    </row>
    <row r="391" spans="1:16" x14ac:dyDescent="0.3">
      <c r="A391">
        <v>389</v>
      </c>
      <c r="B391" s="3">
        <v>45273</v>
      </c>
      <c r="C391">
        <v>73.36</v>
      </c>
      <c r="D391">
        <v>74.7</v>
      </c>
      <c r="E391">
        <v>72.3</v>
      </c>
      <c r="F391">
        <v>74.260000000000005</v>
      </c>
      <c r="G391" s="5">
        <f t="shared" si="70"/>
        <v>6.0066092604813132E-3</v>
      </c>
      <c r="H391" s="5">
        <f t="shared" ca="1" si="71"/>
        <v>-42.221493586875475</v>
      </c>
      <c r="I391">
        <f t="shared" ca="1" si="66"/>
        <v>78.660128805038596</v>
      </c>
      <c r="J391">
        <f t="shared" ca="1" si="72"/>
        <v>1.4086812420988351E-3</v>
      </c>
      <c r="K391" s="12">
        <f t="shared" si="67"/>
        <v>105.75609539998007</v>
      </c>
      <c r="L391" s="12">
        <f t="shared" si="68"/>
        <v>0.18087362864908391</v>
      </c>
      <c r="M391" s="12">
        <f t="shared" si="73"/>
        <v>68.264257495544015</v>
      </c>
      <c r="N391" s="12">
        <f t="shared" si="74"/>
        <v>143.24793330441611</v>
      </c>
      <c r="O391" s="14">
        <f t="shared" si="75"/>
        <v>8.2079410489116517E-2</v>
      </c>
      <c r="P391" s="15">
        <f t="shared" si="69"/>
        <v>2.3577744701697014E-2</v>
      </c>
    </row>
    <row r="392" spans="1:16" x14ac:dyDescent="0.3">
      <c r="A392">
        <v>390</v>
      </c>
      <c r="B392" s="3">
        <v>45274</v>
      </c>
      <c r="C392">
        <v>74.709999999999994</v>
      </c>
      <c r="D392">
        <v>77.349999999999994</v>
      </c>
      <c r="E392">
        <v>74.459999999999994</v>
      </c>
      <c r="F392">
        <v>76.61</v>
      </c>
      <c r="G392" s="5">
        <f t="shared" si="70"/>
        <v>1.3530517449535161E-2</v>
      </c>
      <c r="H392" s="5">
        <f t="shared" ca="1" si="71"/>
        <v>-41.923811432534642</v>
      </c>
      <c r="I392">
        <f t="shared" ca="1" si="66"/>
        <v>78.870165644282991</v>
      </c>
      <c r="J392">
        <f t="shared" ca="1" si="72"/>
        <v>2.6666231335478589E-3</v>
      </c>
      <c r="K392" s="12">
        <f t="shared" si="67"/>
        <v>105.72777514729165</v>
      </c>
      <c r="L392" s="12">
        <f t="shared" si="68"/>
        <v>0.18110973181525988</v>
      </c>
      <c r="M392" s="12">
        <f t="shared" si="73"/>
        <v>68.197050302685469</v>
      </c>
      <c r="N392" s="12">
        <f t="shared" si="74"/>
        <v>143.25849999189782</v>
      </c>
      <c r="O392" s="14">
        <f t="shared" si="75"/>
        <v>7.4247577559620914E-2</v>
      </c>
      <c r="P392" s="15">
        <f t="shared" si="69"/>
        <v>1.9573025969651055E-2</v>
      </c>
    </row>
    <row r="393" spans="1:16" x14ac:dyDescent="0.3">
      <c r="A393">
        <v>391</v>
      </c>
      <c r="B393" s="3">
        <v>45275</v>
      </c>
      <c r="C393">
        <v>76.599999999999994</v>
      </c>
      <c r="D393">
        <v>77.22</v>
      </c>
      <c r="E393">
        <v>75.33</v>
      </c>
      <c r="F393">
        <v>76.55</v>
      </c>
      <c r="G393" s="5">
        <f t="shared" si="70"/>
        <v>-3.4026730539546044E-4</v>
      </c>
      <c r="H393" s="5">
        <f t="shared" ca="1" si="71"/>
        <v>-40.705119129116824</v>
      </c>
      <c r="I393">
        <f t="shared" ca="1" si="66"/>
        <v>79.746115841705659</v>
      </c>
      <c r="J393">
        <f t="shared" ca="1" si="72"/>
        <v>1.104500867280084E-2</v>
      </c>
      <c r="K393" s="12">
        <f t="shared" si="67"/>
        <v>105.69946247843761</v>
      </c>
      <c r="L393" s="12">
        <f t="shared" si="68"/>
        <v>0.18134554708800668</v>
      </c>
      <c r="M393" s="12">
        <f t="shared" si="73"/>
        <v>68.129933852319027</v>
      </c>
      <c r="N393" s="12">
        <f t="shared" si="74"/>
        <v>143.26899110455622</v>
      </c>
      <c r="O393" s="14">
        <f t="shared" si="75"/>
        <v>7.4379862056051321E-2</v>
      </c>
      <c r="P393" s="15">
        <f t="shared" si="69"/>
        <v>1.963573972139452E-2</v>
      </c>
    </row>
    <row r="394" spans="1:16" x14ac:dyDescent="0.3">
      <c r="A394">
        <v>392</v>
      </c>
      <c r="B394" s="3">
        <v>45278</v>
      </c>
      <c r="C394">
        <v>76.97</v>
      </c>
      <c r="D394">
        <v>79.510000000000005</v>
      </c>
      <c r="E394">
        <v>75.78</v>
      </c>
      <c r="F394">
        <v>77.95</v>
      </c>
      <c r="G394" s="5">
        <f t="shared" si="70"/>
        <v>7.8709244905806764E-3</v>
      </c>
      <c r="H394" s="5">
        <f t="shared" ca="1" si="71"/>
        <v>-40.541837431680989</v>
      </c>
      <c r="I394">
        <f t="shared" ca="1" si="66"/>
        <v>79.861351500690375</v>
      </c>
      <c r="J394">
        <f t="shared" ca="1" si="72"/>
        <v>1.4439885667842506E-3</v>
      </c>
      <c r="K394" s="12">
        <f t="shared" si="67"/>
        <v>105.67115739138708</v>
      </c>
      <c r="L394" s="12">
        <f t="shared" si="68"/>
        <v>0.18158107559057832</v>
      </c>
      <c r="M394" s="12">
        <f t="shared" si="73"/>
        <v>68.062907852049548</v>
      </c>
      <c r="N394" s="12">
        <f t="shared" si="74"/>
        <v>143.2794069307246</v>
      </c>
      <c r="O394" s="14">
        <f t="shared" si="75"/>
        <v>6.9848408249794089E-2</v>
      </c>
      <c r="P394" s="15">
        <f t="shared" si="69"/>
        <v>1.7461070684250835E-2</v>
      </c>
    </row>
    <row r="395" spans="1:16" x14ac:dyDescent="0.3">
      <c r="A395">
        <v>393</v>
      </c>
      <c r="B395" s="3">
        <v>45279</v>
      </c>
      <c r="C395">
        <v>78.05</v>
      </c>
      <c r="D395">
        <v>79.66</v>
      </c>
      <c r="E395">
        <v>77.430000000000007</v>
      </c>
      <c r="F395">
        <v>79.23</v>
      </c>
      <c r="G395" s="5">
        <f t="shared" si="70"/>
        <v>7.0735364017260067E-3</v>
      </c>
      <c r="H395" s="5">
        <f t="shared" ca="1" si="71"/>
        <v>-40.196585924701694</v>
      </c>
      <c r="I395">
        <f t="shared" ca="1" si="66"/>
        <v>80.109254492785809</v>
      </c>
      <c r="J395">
        <f t="shared" ca="1" si="72"/>
        <v>3.0993592729459188E-3</v>
      </c>
      <c r="K395" s="12">
        <f t="shared" si="67"/>
        <v>105.64285988410975</v>
      </c>
      <c r="L395" s="12">
        <f t="shared" si="68"/>
        <v>0.18181631843904722</v>
      </c>
      <c r="M395" s="12">
        <f t="shared" si="73"/>
        <v>67.9959720112479</v>
      </c>
      <c r="N395" s="12">
        <f t="shared" si="74"/>
        <v>143.28974775697159</v>
      </c>
      <c r="O395" s="14">
        <f t="shared" si="75"/>
        <v>6.5801871778747675E-2</v>
      </c>
      <c r="P395" s="15">
        <f t="shared" si="69"/>
        <v>1.5612625866195457E-2</v>
      </c>
    </row>
    <row r="396" spans="1:16" x14ac:dyDescent="0.3">
      <c r="A396">
        <v>394</v>
      </c>
      <c r="B396" s="3">
        <v>45280</v>
      </c>
      <c r="C396">
        <v>79.25</v>
      </c>
      <c r="D396">
        <v>80.61</v>
      </c>
      <c r="E396">
        <v>79.08</v>
      </c>
      <c r="F396">
        <v>79.7</v>
      </c>
      <c r="G396" s="5">
        <f t="shared" si="70"/>
        <v>2.5686654695258621E-3</v>
      </c>
      <c r="H396" s="5">
        <f t="shared" ca="1" si="71"/>
        <v>-40.478336458522207</v>
      </c>
      <c r="I396">
        <f t="shared" ca="1" si="66"/>
        <v>79.900885527339511</v>
      </c>
      <c r="J396">
        <f t="shared" ca="1" si="72"/>
        <v>-2.6044484831183315E-3</v>
      </c>
      <c r="K396" s="12">
        <f t="shared" si="67"/>
        <v>105.61456995457586</v>
      </c>
      <c r="L396" s="12">
        <f t="shared" si="68"/>
        <v>0.18205127674237095</v>
      </c>
      <c r="M396" s="12">
        <f t="shared" si="73"/>
        <v>67.929126041034962</v>
      </c>
      <c r="N396" s="12">
        <f t="shared" si="74"/>
        <v>143.30001386811674</v>
      </c>
      <c r="O396" s="14">
        <f t="shared" si="75"/>
        <v>6.4300916948239112E-2</v>
      </c>
      <c r="P396" s="15">
        <f t="shared" si="69"/>
        <v>1.4948855817003856E-2</v>
      </c>
    </row>
    <row r="397" spans="1:16" x14ac:dyDescent="0.3">
      <c r="A397">
        <v>395</v>
      </c>
      <c r="B397" s="3">
        <v>45281</v>
      </c>
      <c r="C397">
        <v>79.14</v>
      </c>
      <c r="D397">
        <v>80.12</v>
      </c>
      <c r="E397">
        <v>77.849999999999994</v>
      </c>
      <c r="F397">
        <v>79.39</v>
      </c>
      <c r="G397" s="5">
        <f t="shared" si="70"/>
        <v>-1.6925194517262523E-3</v>
      </c>
      <c r="H397" s="5">
        <f t="shared" ca="1" si="71"/>
        <v>-38.796413721782002</v>
      </c>
      <c r="I397">
        <f t="shared" ca="1" si="66"/>
        <v>81.129442083157386</v>
      </c>
      <c r="J397">
        <f t="shared" ca="1" si="72"/>
        <v>1.5258993901714576E-2</v>
      </c>
      <c r="K397" s="12">
        <f t="shared" si="67"/>
        <v>105.58628760075614</v>
      </c>
      <c r="L397" s="12">
        <f t="shared" si="68"/>
        <v>0.18228595160245223</v>
      </c>
      <c r="M397" s="12">
        <f t="shared" si="73"/>
        <v>67.862369654267027</v>
      </c>
      <c r="N397" s="12">
        <f t="shared" si="74"/>
        <v>143.31020554724523</v>
      </c>
      <c r="O397" s="14">
        <f t="shared" si="75"/>
        <v>6.5187887024015859E-2</v>
      </c>
      <c r="P397" s="15">
        <f t="shared" si="69"/>
        <v>1.5336771233414382E-2</v>
      </c>
    </row>
    <row r="398" spans="1:16" x14ac:dyDescent="0.3">
      <c r="A398">
        <v>396</v>
      </c>
      <c r="B398" s="3">
        <v>45282</v>
      </c>
      <c r="C398">
        <v>79.44</v>
      </c>
      <c r="D398">
        <v>80.37</v>
      </c>
      <c r="E398">
        <v>78.83</v>
      </c>
      <c r="F398">
        <v>79.069999999999993</v>
      </c>
      <c r="G398" s="5">
        <f t="shared" si="70"/>
        <v>-1.7540631468844828E-3</v>
      </c>
      <c r="H398" s="5">
        <f t="shared" ca="1" si="71"/>
        <v>-38.920343138063863</v>
      </c>
      <c r="I398">
        <f t="shared" ca="1" si="66"/>
        <v>81.034676846664425</v>
      </c>
      <c r="J398">
        <f t="shared" ca="1" si="72"/>
        <v>-1.1687572800412208E-3</v>
      </c>
      <c r="K398" s="12">
        <f t="shared" si="67"/>
        <v>105.55801282062194</v>
      </c>
      <c r="L398" s="12">
        <f t="shared" si="68"/>
        <v>0.18252034411420401</v>
      </c>
      <c r="M398" s="12">
        <f t="shared" si="73"/>
        <v>67.795702565520259</v>
      </c>
      <c r="N398" s="12">
        <f t="shared" si="74"/>
        <v>143.32032307572362</v>
      </c>
      <c r="O398" s="14">
        <f t="shared" si="75"/>
        <v>6.6111006831025637E-2</v>
      </c>
      <c r="P398" s="15">
        <f t="shared" si="69"/>
        <v>1.5745096645884023E-2</v>
      </c>
    </row>
    <row r="399" spans="1:16" x14ac:dyDescent="0.3">
      <c r="A399">
        <v>397</v>
      </c>
      <c r="B399" s="3">
        <v>45286</v>
      </c>
      <c r="C399">
        <v>79.19</v>
      </c>
      <c r="D399">
        <v>81.709999999999994</v>
      </c>
      <c r="E399">
        <v>78.81</v>
      </c>
      <c r="F399">
        <v>81.069999999999993</v>
      </c>
      <c r="G399" s="5">
        <f t="shared" si="70"/>
        <v>1.0848434219774855E-2</v>
      </c>
      <c r="H399" s="5">
        <f t="shared" ca="1" si="71"/>
        <v>-39.854034088296878</v>
      </c>
      <c r="I399">
        <f t="shared" ca="1" si="66"/>
        <v>80.3459794378482</v>
      </c>
      <c r="J399">
        <f t="shared" ca="1" si="72"/>
        <v>-8.5351194565045415E-3</v>
      </c>
      <c r="K399" s="12">
        <f t="shared" si="67"/>
        <v>105.52974561214509</v>
      </c>
      <c r="L399" s="12">
        <f t="shared" si="68"/>
        <v>0.18275445536560825</v>
      </c>
      <c r="M399" s="12">
        <f t="shared" si="73"/>
        <v>67.72912449107632</v>
      </c>
      <c r="N399" s="12">
        <f t="shared" si="74"/>
        <v>143.33036673321385</v>
      </c>
      <c r="O399" s="14">
        <f t="shared" si="75"/>
        <v>5.9991150656733251E-2</v>
      </c>
      <c r="P399" s="15">
        <f t="shared" si="69"/>
        <v>1.3113620689490933E-2</v>
      </c>
    </row>
    <row r="400" spans="1:16" x14ac:dyDescent="0.3">
      <c r="A400">
        <v>398</v>
      </c>
      <c r="B400" s="3">
        <v>45287</v>
      </c>
      <c r="C400">
        <v>80.739999999999995</v>
      </c>
      <c r="D400">
        <v>81.319999999999993</v>
      </c>
      <c r="E400">
        <v>79.489999999999995</v>
      </c>
      <c r="F400">
        <v>79.650000000000006</v>
      </c>
      <c r="G400" s="5">
        <f t="shared" si="70"/>
        <v>-7.6743928801261199E-3</v>
      </c>
      <c r="H400" s="5">
        <f t="shared" ca="1" si="71"/>
        <v>-40.81772243843632</v>
      </c>
      <c r="I400">
        <f t="shared" ca="1" si="66"/>
        <v>79.641399227210599</v>
      </c>
      <c r="J400">
        <f t="shared" ca="1" si="72"/>
        <v>-8.8080043773091973E-3</v>
      </c>
      <c r="K400" s="12">
        <f t="shared" si="67"/>
        <v>105.501485973298</v>
      </c>
      <c r="L400" s="12">
        <f t="shared" si="68"/>
        <v>0.18298828643778184</v>
      </c>
      <c r="M400" s="12">
        <f t="shared" si="73"/>
        <v>67.662635148906801</v>
      </c>
      <c r="N400" s="12">
        <f t="shared" si="74"/>
        <v>143.34033679768922</v>
      </c>
      <c r="O400" s="14">
        <f t="shared" si="75"/>
        <v>6.4208767912371567E-2</v>
      </c>
      <c r="P400" s="15">
        <f t="shared" si="69"/>
        <v>1.4901767649023692E-2</v>
      </c>
    </row>
    <row r="401" spans="1:16" x14ac:dyDescent="0.3">
      <c r="A401">
        <v>399</v>
      </c>
      <c r="B401" s="3">
        <v>45288</v>
      </c>
      <c r="C401">
        <v>79.84</v>
      </c>
      <c r="D401">
        <v>79.959999999999994</v>
      </c>
      <c r="E401">
        <v>78.34</v>
      </c>
      <c r="F401">
        <v>78.39</v>
      </c>
      <c r="G401" s="5">
        <f t="shared" si="70"/>
        <v>-6.9251156901622328E-3</v>
      </c>
      <c r="H401" s="5">
        <f t="shared" ca="1" si="71"/>
        <v>-41.200975564431431</v>
      </c>
      <c r="I401">
        <f t="shared" ca="1" si="66"/>
        <v>79.360934289274027</v>
      </c>
      <c r="J401">
        <f t="shared" ca="1" si="72"/>
        <v>-3.5278127384684955E-3</v>
      </c>
      <c r="K401" s="12">
        <f t="shared" si="67"/>
        <v>105.47323390205362</v>
      </c>
      <c r="L401" s="12">
        <f t="shared" si="68"/>
        <v>0.18322183840503231</v>
      </c>
      <c r="M401" s="12">
        <f t="shared" si="73"/>
        <v>67.596234258659464</v>
      </c>
      <c r="N401" s="12">
        <f t="shared" si="74"/>
        <v>143.35023354544779</v>
      </c>
      <c r="O401" s="14">
        <f t="shared" si="75"/>
        <v>6.8037942209922417E-2</v>
      </c>
      <c r="P401" s="15">
        <f t="shared" si="69"/>
        <v>1.6610466204612765E-2</v>
      </c>
    </row>
    <row r="402" spans="1:16" x14ac:dyDescent="0.3">
      <c r="A402">
        <v>400</v>
      </c>
      <c r="B402" s="3">
        <v>45289</v>
      </c>
      <c r="C402">
        <v>77.42</v>
      </c>
      <c r="D402">
        <v>77.97</v>
      </c>
      <c r="E402">
        <v>76.75</v>
      </c>
      <c r="F402">
        <v>77.040000000000006</v>
      </c>
      <c r="G402" s="5">
        <f t="shared" si="70"/>
        <v>-7.5443903305099274E-3</v>
      </c>
      <c r="H402" s="5">
        <f t="shared" ca="1" si="71"/>
        <v>-39.276167450117249</v>
      </c>
      <c r="I402">
        <f t="shared" ca="1" si="66"/>
        <v>80.75943087782008</v>
      </c>
      <c r="J402">
        <f t="shared" ca="1" si="72"/>
        <v>1.7468510634186456E-2</v>
      </c>
      <c r="K402" s="12">
        <f t="shared" si="67"/>
        <v>105.44498939638542</v>
      </c>
      <c r="L402" s="12">
        <f t="shared" si="68"/>
        <v>0.18345511233491932</v>
      </c>
      <c r="M402" s="12">
        <f t="shared" si="73"/>
        <v>67.529921541643631</v>
      </c>
      <c r="N402" s="12">
        <f t="shared" si="74"/>
        <v>143.36005725112722</v>
      </c>
      <c r="O402" s="14">
        <f t="shared" si="75"/>
        <v>7.2247043835671057E-2</v>
      </c>
      <c r="P402" s="15">
        <f t="shared" si="69"/>
        <v>1.8580327051937139E-2</v>
      </c>
    </row>
    <row r="403" spans="1:16" x14ac:dyDescent="0.3">
      <c r="A403">
        <v>401</v>
      </c>
      <c r="B403" s="3">
        <v>45293</v>
      </c>
      <c r="C403">
        <v>77.209999999999994</v>
      </c>
      <c r="D403">
        <v>79.040000000000006</v>
      </c>
      <c r="E403">
        <v>75.599999999999994</v>
      </c>
      <c r="F403">
        <v>75.89</v>
      </c>
      <c r="G403" s="5">
        <f t="shared" si="70"/>
        <v>-6.5317212900446705E-3</v>
      </c>
      <c r="H403" s="5">
        <f t="shared" ca="1" si="71"/>
        <v>-39.653818673607645</v>
      </c>
      <c r="I403">
        <f t="shared" ca="1" si="66"/>
        <v>80.479129813954188</v>
      </c>
      <c r="J403">
        <f t="shared" ca="1" si="72"/>
        <v>-3.4768524977101534E-3</v>
      </c>
      <c r="K403" s="12">
        <f t="shared" si="67"/>
        <v>105.41675245426742</v>
      </c>
      <c r="L403" s="12">
        <f t="shared" si="68"/>
        <v>0.183688109288315</v>
      </c>
      <c r="M403" s="12">
        <f t="shared" si="73"/>
        <v>67.46369672081552</v>
      </c>
      <c r="N403" s="12">
        <f t="shared" si="74"/>
        <v>143.36980818771931</v>
      </c>
      <c r="O403" s="14">
        <f t="shared" si="75"/>
        <v>7.5910143953656542E-2</v>
      </c>
      <c r="P403" s="15">
        <f t="shared" si="69"/>
        <v>2.037044847941677E-2</v>
      </c>
    </row>
    <row r="404" spans="1:16" x14ac:dyDescent="0.3">
      <c r="A404">
        <v>402</v>
      </c>
      <c r="B404" s="3">
        <v>45294</v>
      </c>
      <c r="C404">
        <v>75.989999999999995</v>
      </c>
      <c r="D404">
        <v>78.67</v>
      </c>
      <c r="E404">
        <v>74.790000000000006</v>
      </c>
      <c r="F404">
        <v>78.25</v>
      </c>
      <c r="G404" s="5">
        <f t="shared" si="70"/>
        <v>1.3299793392052695E-2</v>
      </c>
      <c r="H404" s="5">
        <f t="shared" ca="1" si="71"/>
        <v>-38.66882135998344</v>
      </c>
      <c r="I404">
        <f t="shared" ca="1" si="66"/>
        <v>81.200141542726769</v>
      </c>
      <c r="J404">
        <f t="shared" ca="1" si="72"/>
        <v>8.9190964610354629E-3</v>
      </c>
      <c r="K404" s="12">
        <f t="shared" si="67"/>
        <v>105.38852307367421</v>
      </c>
      <c r="L404" s="12">
        <f t="shared" si="68"/>
        <v>0.18392083031945991</v>
      </c>
      <c r="M404" s="12">
        <f t="shared" si="73"/>
        <v>67.397559520764844</v>
      </c>
      <c r="N404" s="12">
        <f t="shared" si="74"/>
        <v>143.37948662658357</v>
      </c>
      <c r="O404" s="14">
        <f t="shared" si="75"/>
        <v>6.8291545342623258E-2</v>
      </c>
      <c r="P404" s="15">
        <f t="shared" si="69"/>
        <v>1.6720810261763905E-2</v>
      </c>
    </row>
    <row r="405" spans="1:16" x14ac:dyDescent="0.3">
      <c r="A405">
        <v>403</v>
      </c>
      <c r="B405" s="3">
        <v>45295</v>
      </c>
      <c r="C405">
        <v>78.5</v>
      </c>
      <c r="D405">
        <v>79.400000000000006</v>
      </c>
      <c r="E405">
        <v>76.5</v>
      </c>
      <c r="F405">
        <v>77.59</v>
      </c>
      <c r="G405" s="5">
        <f t="shared" si="70"/>
        <v>-3.678594350400645E-3</v>
      </c>
      <c r="H405" s="5">
        <f t="shared" ca="1" si="71"/>
        <v>-39.468584648635783</v>
      </c>
      <c r="I405">
        <f t="shared" ca="1" si="66"/>
        <v>80.608185740925052</v>
      </c>
      <c r="J405">
        <f t="shared" ca="1" si="72"/>
        <v>-7.3167858863285437E-3</v>
      </c>
      <c r="K405" s="12">
        <f t="shared" si="67"/>
        <v>105.36030125258088</v>
      </c>
      <c r="L405" s="12">
        <f t="shared" si="68"/>
        <v>0.18415327647602447</v>
      </c>
      <c r="M405" s="12">
        <f t="shared" si="73"/>
        <v>67.331509667699933</v>
      </c>
      <c r="N405" s="12">
        <f t="shared" si="74"/>
        <v>143.38909283746185</v>
      </c>
      <c r="O405" s="14">
        <f t="shared" si="75"/>
        <v>7.0309475837539048E-2</v>
      </c>
      <c r="P405" s="15">
        <f t="shared" si="69"/>
        <v>1.7654769567817141E-2</v>
      </c>
    </row>
    <row r="406" spans="1:16" x14ac:dyDescent="0.3">
      <c r="A406">
        <v>404</v>
      </c>
      <c r="B406" s="3">
        <v>45296</v>
      </c>
      <c r="C406">
        <v>77.599999999999994</v>
      </c>
      <c r="D406">
        <v>79.25</v>
      </c>
      <c r="E406">
        <v>77.5</v>
      </c>
      <c r="F406">
        <v>78.760000000000005</v>
      </c>
      <c r="G406" s="5">
        <f t="shared" si="70"/>
        <v>6.4999555979951412E-3</v>
      </c>
      <c r="H406" s="5">
        <f t="shared" ca="1" si="71"/>
        <v>-39.14907433138108</v>
      </c>
      <c r="I406">
        <f t="shared" ca="1" si="66"/>
        <v>80.839474927733121</v>
      </c>
      <c r="J406">
        <f t="shared" ca="1" si="72"/>
        <v>2.865192893815626E-3</v>
      </c>
      <c r="K406" s="12">
        <f t="shared" si="67"/>
        <v>105.33208698896311</v>
      </c>
      <c r="L406" s="12">
        <f t="shared" si="68"/>
        <v>0.18438544879916072</v>
      </c>
      <c r="M406" s="12">
        <f t="shared" si="73"/>
        <v>67.2655468894352</v>
      </c>
      <c r="N406" s="12">
        <f t="shared" si="74"/>
        <v>143.39862708849103</v>
      </c>
      <c r="O406" s="14">
        <f t="shared" si="75"/>
        <v>6.6579445058047901E-2</v>
      </c>
      <c r="P406" s="15">
        <f t="shared" si="69"/>
        <v>1.5940320394850868E-2</v>
      </c>
    </row>
    <row r="407" spans="1:16" x14ac:dyDescent="0.3">
      <c r="A407">
        <v>405</v>
      </c>
      <c r="B407" s="3">
        <v>45299</v>
      </c>
      <c r="C407">
        <v>78.599999999999994</v>
      </c>
      <c r="D407">
        <v>78.95</v>
      </c>
      <c r="E407">
        <v>75.260000000000005</v>
      </c>
      <c r="F407">
        <v>76.12</v>
      </c>
      <c r="G407" s="5">
        <f t="shared" si="70"/>
        <v>-1.4806927851097738E-2</v>
      </c>
      <c r="H407" s="5">
        <f t="shared" ca="1" si="71"/>
        <v>-39.827642217201799</v>
      </c>
      <c r="I407">
        <f t="shared" ca="1" si="66"/>
        <v>80.338673702859111</v>
      </c>
      <c r="J407">
        <f t="shared" ca="1" si="72"/>
        <v>-6.2142770686719612E-3</v>
      </c>
      <c r="K407" s="12">
        <f t="shared" si="67"/>
        <v>105.30388028079706</v>
      </c>
      <c r="L407" s="12">
        <f t="shared" si="68"/>
        <v>0.18461734832356461</v>
      </c>
      <c r="M407" s="12">
        <f t="shared" si="73"/>
        <v>67.199670915376259</v>
      </c>
      <c r="N407" s="12">
        <f t="shared" si="74"/>
        <v>143.40808964621786</v>
      </c>
      <c r="O407" s="14">
        <f t="shared" si="75"/>
        <v>7.4911340073430407E-2</v>
      </c>
      <c r="P407" s="15">
        <f t="shared" si="69"/>
        <v>1.9865660729461915E-2</v>
      </c>
    </row>
    <row r="408" spans="1:16" x14ac:dyDescent="0.3">
      <c r="A408">
        <v>406</v>
      </c>
      <c r="B408" s="3">
        <v>45300</v>
      </c>
      <c r="C408">
        <v>76.36</v>
      </c>
      <c r="D408">
        <v>78.180000000000007</v>
      </c>
      <c r="E408">
        <v>75.959999999999994</v>
      </c>
      <c r="F408">
        <v>77.59</v>
      </c>
      <c r="G408" s="5">
        <f t="shared" si="70"/>
        <v>8.3069722531025694E-3</v>
      </c>
      <c r="H408" s="5">
        <f t="shared" ca="1" si="71"/>
        <v>-39.346092270379977</v>
      </c>
      <c r="I408">
        <f t="shared" ca="1" si="66"/>
        <v>80.688041522688536</v>
      </c>
      <c r="J408">
        <f t="shared" ca="1" si="72"/>
        <v>4.3392597002579626E-3</v>
      </c>
      <c r="K408" s="12">
        <f t="shared" si="67"/>
        <v>105.27568112605951</v>
      </c>
      <c r="L408" s="12">
        <f t="shared" si="68"/>
        <v>0.18484897607752798</v>
      </c>
      <c r="M408" s="12">
        <f t="shared" si="73"/>
        <v>67.133881476507298</v>
      </c>
      <c r="N408" s="12">
        <f t="shared" si="74"/>
        <v>143.41748077561172</v>
      </c>
      <c r="O408" s="14">
        <f t="shared" si="75"/>
        <v>7.012483053153179E-2</v>
      </c>
      <c r="P408" s="15">
        <f t="shared" si="69"/>
        <v>1.7562162140775588E-2</v>
      </c>
    </row>
    <row r="409" spans="1:16" x14ac:dyDescent="0.3">
      <c r="A409">
        <v>407</v>
      </c>
      <c r="B409" s="3">
        <v>45301</v>
      </c>
      <c r="C409">
        <v>77.459999999999994</v>
      </c>
      <c r="D409">
        <v>78.73</v>
      </c>
      <c r="E409">
        <v>76.38</v>
      </c>
      <c r="F409">
        <v>76.8</v>
      </c>
      <c r="G409" s="5">
        <f t="shared" si="70"/>
        <v>-4.4445318365734458E-3</v>
      </c>
      <c r="H409" s="5">
        <f t="shared" ca="1" si="71"/>
        <v>-41.613485233126838</v>
      </c>
      <c r="I409">
        <f t="shared" ca="1" si="66"/>
        <v>79.037516858727699</v>
      </c>
      <c r="J409">
        <f t="shared" ca="1" si="72"/>
        <v>-2.0667743257140044E-2</v>
      </c>
      <c r="K409" s="12">
        <f t="shared" si="67"/>
        <v>105.24748952272772</v>
      </c>
      <c r="L409" s="12">
        <f t="shared" si="68"/>
        <v>0.18508033308299407</v>
      </c>
      <c r="M409" s="12">
        <f t="shared" si="73"/>
        <v>67.068178305377586</v>
      </c>
      <c r="N409" s="12">
        <f t="shared" si="74"/>
        <v>143.42680074007785</v>
      </c>
      <c r="O409" s="14">
        <f t="shared" si="75"/>
        <v>7.2585838661958696E-2</v>
      </c>
      <c r="P409" s="15">
        <f t="shared" si="69"/>
        <v>1.8728066284936496E-2</v>
      </c>
    </row>
    <row r="410" spans="1:16" x14ac:dyDescent="0.3">
      <c r="A410">
        <v>408</v>
      </c>
      <c r="B410" s="3">
        <v>45302</v>
      </c>
      <c r="C410">
        <v>76.739999999999995</v>
      </c>
      <c r="D410">
        <v>79.09</v>
      </c>
      <c r="E410">
        <v>76.650000000000006</v>
      </c>
      <c r="F410">
        <v>77.41</v>
      </c>
      <c r="G410" s="5">
        <f t="shared" si="70"/>
        <v>3.435847425168807E-3</v>
      </c>
      <c r="H410" s="5">
        <f t="shared" ca="1" si="71"/>
        <v>-40.115202143706135</v>
      </c>
      <c r="I410">
        <f t="shared" ca="1" si="66"/>
        <v>80.118842967244333</v>
      </c>
      <c r="J410">
        <f t="shared" ca="1" si="72"/>
        <v>1.3588432760692075E-2</v>
      </c>
      <c r="K410" s="12">
        <f t="shared" si="67"/>
        <v>105.21930546877948</v>
      </c>
      <c r="L410" s="12">
        <f t="shared" si="68"/>
        <v>0.18531142035561482</v>
      </c>
      <c r="M410" s="12">
        <f t="shared" si="73"/>
        <v>67.002561136087834</v>
      </c>
      <c r="N410" s="12">
        <f t="shared" si="74"/>
        <v>143.43604980147111</v>
      </c>
      <c r="O410" s="14">
        <f t="shared" si="75"/>
        <v>7.0573152415958629E-2</v>
      </c>
      <c r="P410" s="15">
        <f t="shared" si="69"/>
        <v>1.7768453664973347E-2</v>
      </c>
    </row>
    <row r="411" spans="1:16" x14ac:dyDescent="0.3">
      <c r="A411">
        <v>409</v>
      </c>
      <c r="B411" s="3">
        <v>45303</v>
      </c>
      <c r="C411">
        <v>78.459999999999994</v>
      </c>
      <c r="D411">
        <v>80.739999999999995</v>
      </c>
      <c r="E411">
        <v>77.930000000000007</v>
      </c>
      <c r="F411">
        <v>78.290000000000006</v>
      </c>
      <c r="G411" s="5">
        <f t="shared" si="70"/>
        <v>4.9092256080328078E-3</v>
      </c>
      <c r="H411" s="5">
        <f t="shared" ca="1" si="71"/>
        <v>-38.656282177221442</v>
      </c>
      <c r="I411">
        <f t="shared" ca="1" si="66"/>
        <v>81.185886277893871</v>
      </c>
      <c r="J411">
        <f t="shared" ca="1" si="72"/>
        <v>1.3230348302755119E-2</v>
      </c>
      <c r="K411" s="12">
        <f t="shared" si="67"/>
        <v>105.1911289621932</v>
      </c>
      <c r="L411" s="12">
        <f t="shared" si="68"/>
        <v>0.1855422389048017</v>
      </c>
      <c r="M411" s="12">
        <f t="shared" si="73"/>
        <v>66.937029704277847</v>
      </c>
      <c r="N411" s="12">
        <f t="shared" si="74"/>
        <v>143.44522822010856</v>
      </c>
      <c r="O411" s="14">
        <f t="shared" si="75"/>
        <v>6.7736387421353766E-2</v>
      </c>
      <c r="P411" s="15">
        <f t="shared" si="69"/>
        <v>1.6453917153557377E-2</v>
      </c>
    </row>
    <row r="412" spans="1:16" x14ac:dyDescent="0.3">
      <c r="A412">
        <v>410</v>
      </c>
      <c r="B412" s="3">
        <v>45307</v>
      </c>
      <c r="C412">
        <v>78.08</v>
      </c>
      <c r="D412">
        <v>79.39</v>
      </c>
      <c r="E412">
        <v>76.83</v>
      </c>
      <c r="F412">
        <v>78.290000000000006</v>
      </c>
      <c r="G412" s="5">
        <f t="shared" si="70"/>
        <v>0</v>
      </c>
      <c r="H412" s="5">
        <f t="shared" ca="1" si="71"/>
        <v>-38.699184854880308</v>
      </c>
      <c r="I412">
        <f t="shared" ca="1" si="66"/>
        <v>81.150849068528558</v>
      </c>
      <c r="J412">
        <f t="shared" ca="1" si="72"/>
        <v>-4.3166089098178461E-4</v>
      </c>
      <c r="K412" s="12">
        <f t="shared" si="67"/>
        <v>105.16296000094779</v>
      </c>
      <c r="L412" s="12">
        <f t="shared" si="68"/>
        <v>0.1857727897337817</v>
      </c>
      <c r="M412" s="12">
        <f t="shared" si="73"/>
        <v>66.871583747112979</v>
      </c>
      <c r="N412" s="12">
        <f t="shared" si="74"/>
        <v>143.45433625478259</v>
      </c>
      <c r="O412" s="14">
        <f t="shared" si="75"/>
        <v>6.7674965759746505E-2</v>
      </c>
      <c r="P412" s="15">
        <f t="shared" si="69"/>
        <v>1.6424090681719544E-2</v>
      </c>
    </row>
    <row r="413" spans="1:16" x14ac:dyDescent="0.3">
      <c r="A413">
        <v>411</v>
      </c>
      <c r="B413" s="3">
        <v>45308</v>
      </c>
      <c r="C413">
        <v>77.86</v>
      </c>
      <c r="D413">
        <v>78.180000000000007</v>
      </c>
      <c r="E413">
        <v>76.5</v>
      </c>
      <c r="F413">
        <v>77.88</v>
      </c>
      <c r="G413" s="5">
        <f t="shared" si="70"/>
        <v>-2.2803502167194978E-3</v>
      </c>
      <c r="H413" s="5">
        <f t="shared" ca="1" si="71"/>
        <v>-37.502089942762424</v>
      </c>
      <c r="I413">
        <f t="shared" ca="1" si="66"/>
        <v>82.036009826025605</v>
      </c>
      <c r="J413">
        <f t="shared" ca="1" si="72"/>
        <v>1.0848538230934188E-2</v>
      </c>
      <c r="K413" s="12">
        <f t="shared" si="67"/>
        <v>105.13479858302263</v>
      </c>
      <c r="L413" s="12">
        <f t="shared" si="68"/>
        <v>0.18600307383964762</v>
      </c>
      <c r="M413" s="12">
        <f t="shared" si="73"/>
        <v>66.806223003271938</v>
      </c>
      <c r="N413" s="12">
        <f t="shared" si="74"/>
        <v>143.46337416277333</v>
      </c>
      <c r="O413" s="14">
        <f t="shared" si="75"/>
        <v>6.89006855724658E-2</v>
      </c>
      <c r="P413" s="15">
        <f t="shared" si="69"/>
        <v>1.6983444233227375E-2</v>
      </c>
    </row>
    <row r="414" spans="1:16" x14ac:dyDescent="0.3">
      <c r="A414">
        <v>412</v>
      </c>
      <c r="B414" s="3">
        <v>45309</v>
      </c>
      <c r="C414">
        <v>78.05</v>
      </c>
      <c r="D414">
        <v>79.3</v>
      </c>
      <c r="E414">
        <v>77.34</v>
      </c>
      <c r="F414">
        <v>79.099999999999994</v>
      </c>
      <c r="G414" s="5">
        <f t="shared" si="70"/>
        <v>6.7505406496825258E-3</v>
      </c>
      <c r="H414" s="5">
        <f t="shared" ca="1" si="71"/>
        <v>-37.801058869740693</v>
      </c>
      <c r="I414">
        <f t="shared" ca="1" si="66"/>
        <v>81.809813978653239</v>
      </c>
      <c r="J414">
        <f t="shared" ca="1" si="72"/>
        <v>-2.7610833870733036E-3</v>
      </c>
      <c r="K414" s="12">
        <f t="shared" si="67"/>
        <v>105.10664470639777</v>
      </c>
      <c r="L414" s="12">
        <f t="shared" si="68"/>
        <v>0.18623309221341353</v>
      </c>
      <c r="M414" s="12">
        <f t="shared" si="73"/>
        <v>66.740947212933605</v>
      </c>
      <c r="N414" s="12">
        <f t="shared" si="74"/>
        <v>143.47234219986194</v>
      </c>
      <c r="O414" s="14">
        <f t="shared" si="75"/>
        <v>6.5038045728758445E-2</v>
      </c>
      <c r="P414" s="15">
        <f t="shared" si="69"/>
        <v>1.5240813311653759E-2</v>
      </c>
    </row>
    <row r="415" spans="1:16" x14ac:dyDescent="0.3">
      <c r="A415">
        <v>413</v>
      </c>
      <c r="B415" s="3">
        <v>45310</v>
      </c>
      <c r="C415">
        <v>78.98</v>
      </c>
      <c r="D415">
        <v>79.75</v>
      </c>
      <c r="E415">
        <v>78.33</v>
      </c>
      <c r="F415">
        <v>78.56</v>
      </c>
      <c r="G415" s="5">
        <f t="shared" si="70"/>
        <v>-2.9750087187832711E-3</v>
      </c>
      <c r="H415" s="5">
        <f t="shared" ca="1" si="71"/>
        <v>-36.806763322863119</v>
      </c>
      <c r="I415">
        <f t="shared" ca="1" si="66"/>
        <v>82.549729515639356</v>
      </c>
      <c r="J415">
        <f t="shared" ca="1" si="72"/>
        <v>9.0036820468824413E-3</v>
      </c>
      <c r="K415" s="12">
        <f t="shared" si="67"/>
        <v>105.07849836905372</v>
      </c>
      <c r="L415" s="12">
        <f t="shared" si="68"/>
        <v>0.18646284584006326</v>
      </c>
      <c r="M415" s="12">
        <f t="shared" si="73"/>
        <v>66.67575611776509</v>
      </c>
      <c r="N415" s="12">
        <f t="shared" si="74"/>
        <v>143.48124062034236</v>
      </c>
      <c r="O415" s="14">
        <f t="shared" si="75"/>
        <v>6.6648525102788722E-2</v>
      </c>
      <c r="P415" s="15">
        <f t="shared" si="69"/>
        <v>1.5954818115974431E-2</v>
      </c>
    </row>
    <row r="416" spans="1:16" x14ac:dyDescent="0.3">
      <c r="A416">
        <v>414</v>
      </c>
      <c r="B416" s="3">
        <v>45313</v>
      </c>
      <c r="C416">
        <v>78.849999999999994</v>
      </c>
      <c r="D416">
        <v>80.55</v>
      </c>
      <c r="E416">
        <v>77.819999999999993</v>
      </c>
      <c r="F416">
        <v>80.06</v>
      </c>
      <c r="G416" s="5">
        <f t="shared" si="70"/>
        <v>8.2141109901931048E-3</v>
      </c>
      <c r="H416" s="5">
        <f t="shared" ca="1" si="71"/>
        <v>-33.697421982901808</v>
      </c>
      <c r="I416">
        <f t="shared" ca="1" si="66"/>
        <v>84.914515193123194</v>
      </c>
      <c r="J416">
        <f t="shared" ca="1" si="72"/>
        <v>2.8244153072515949E-2</v>
      </c>
      <c r="K416" s="12">
        <f t="shared" si="67"/>
        <v>105.05035956897153</v>
      </c>
      <c r="L416" s="12">
        <f t="shared" si="68"/>
        <v>0.1866923356986035</v>
      </c>
      <c r="M416" s="12">
        <f t="shared" si="73"/>
        <v>66.61064946090903</v>
      </c>
      <c r="N416" s="12">
        <f t="shared" si="74"/>
        <v>143.49006967703403</v>
      </c>
      <c r="O416" s="14">
        <f t="shared" si="75"/>
        <v>6.1984339295857255E-2</v>
      </c>
      <c r="P416" s="15">
        <f t="shared" si="69"/>
        <v>1.3919742293015E-2</v>
      </c>
    </row>
    <row r="417" spans="1:16" x14ac:dyDescent="0.3">
      <c r="A417">
        <v>415</v>
      </c>
      <c r="B417" s="3">
        <v>45314</v>
      </c>
      <c r="C417">
        <v>79.91</v>
      </c>
      <c r="D417">
        <v>80.44</v>
      </c>
      <c r="E417">
        <v>78.7</v>
      </c>
      <c r="F417">
        <v>79.55</v>
      </c>
      <c r="G417" s="5">
        <f t="shared" si="70"/>
        <v>-2.7754017864860198E-3</v>
      </c>
      <c r="H417" s="5">
        <f t="shared" ca="1" si="71"/>
        <v>-35.239862228478742</v>
      </c>
      <c r="I417">
        <f t="shared" ca="1" si="66"/>
        <v>83.727892353995031</v>
      </c>
      <c r="J417">
        <f t="shared" ca="1" si="72"/>
        <v>-1.40728828549331E-2</v>
      </c>
      <c r="K417" s="12">
        <f t="shared" si="67"/>
        <v>105.02222830413285</v>
      </c>
      <c r="L417" s="12">
        <f t="shared" si="68"/>
        <v>0.18692156276211366</v>
      </c>
      <c r="M417" s="12">
        <f t="shared" si="73"/>
        <v>66.545626986971584</v>
      </c>
      <c r="N417" s="12">
        <f t="shared" si="74"/>
        <v>143.49882962129413</v>
      </c>
      <c r="O417" s="14">
        <f t="shared" si="75"/>
        <v>6.347389984984568E-2</v>
      </c>
      <c r="P417" s="15">
        <f t="shared" si="69"/>
        <v>1.4554261663581839E-2</v>
      </c>
    </row>
    <row r="418" spans="1:16" x14ac:dyDescent="0.3">
      <c r="A418">
        <v>416</v>
      </c>
      <c r="B418" s="3">
        <v>45315</v>
      </c>
      <c r="C418">
        <v>79.739999999999995</v>
      </c>
      <c r="D418">
        <v>80.739999999999995</v>
      </c>
      <c r="E418">
        <v>79.05</v>
      </c>
      <c r="F418">
        <v>80.040000000000006</v>
      </c>
      <c r="G418" s="5">
        <f t="shared" si="70"/>
        <v>2.6668959815734721E-3</v>
      </c>
      <c r="H418" s="5">
        <f t="shared" ca="1" si="71"/>
        <v>-33.069549618764732</v>
      </c>
      <c r="I418">
        <f t="shared" ca="1" si="66"/>
        <v>85.393844293385541</v>
      </c>
      <c r="J418">
        <f t="shared" ca="1" si="72"/>
        <v>1.9701853357001014E-2</v>
      </c>
      <c r="K418" s="12">
        <f t="shared" si="67"/>
        <v>104.99410457251977</v>
      </c>
      <c r="L418" s="12">
        <f t="shared" si="68"/>
        <v>0.18715052799779658</v>
      </c>
      <c r="M418" s="12">
        <f t="shared" si="73"/>
        <v>66.480688442009992</v>
      </c>
      <c r="N418" s="12">
        <f t="shared" si="74"/>
        <v>143.50752070302954</v>
      </c>
      <c r="O418" s="14">
        <f t="shared" si="75"/>
        <v>6.1922658387963715E-2</v>
      </c>
      <c r="P418" s="15">
        <f t="shared" si="69"/>
        <v>1.38904690634608E-2</v>
      </c>
    </row>
    <row r="419" spans="1:16" x14ac:dyDescent="0.3">
      <c r="A419">
        <v>417</v>
      </c>
      <c r="B419" s="3">
        <v>45316</v>
      </c>
      <c r="C419">
        <v>80.31</v>
      </c>
      <c r="D419">
        <v>82.56</v>
      </c>
      <c r="E419">
        <v>80.069999999999993</v>
      </c>
      <c r="F419">
        <v>82.43</v>
      </c>
      <c r="G419" s="5">
        <f t="shared" si="70"/>
        <v>1.2778219879528959E-2</v>
      </c>
      <c r="H419" s="5">
        <f t="shared" ca="1" si="71"/>
        <v>-33.830340054252822</v>
      </c>
      <c r="I419">
        <f t="shared" ca="1" si="66"/>
        <v>84.801375707232751</v>
      </c>
      <c r="J419">
        <f t="shared" ca="1" si="72"/>
        <v>-6.9622516939506288E-3</v>
      </c>
      <c r="K419" s="12">
        <f t="shared" si="67"/>
        <v>104.96598837211504</v>
      </c>
      <c r="L419" s="12">
        <f t="shared" si="68"/>
        <v>0.1873792323670268</v>
      </c>
      <c r="M419" s="12">
        <f t="shared" si="73"/>
        <v>66.415833573521212</v>
      </c>
      <c r="N419" s="12">
        <f t="shared" si="74"/>
        <v>143.51614317070886</v>
      </c>
      <c r="O419" s="14">
        <f t="shared" si="75"/>
        <v>5.478007668131013E-2</v>
      </c>
      <c r="P419" s="15">
        <f t="shared" si="69"/>
        <v>1.1017294274122964E-2</v>
      </c>
    </row>
    <row r="420" spans="1:16" x14ac:dyDescent="0.3">
      <c r="A420">
        <v>418</v>
      </c>
      <c r="B420" s="3">
        <v>45317</v>
      </c>
      <c r="C420">
        <v>82.39</v>
      </c>
      <c r="D420">
        <v>83.83</v>
      </c>
      <c r="E420">
        <v>81.319999999999993</v>
      </c>
      <c r="F420">
        <v>83.55</v>
      </c>
      <c r="G420" s="5">
        <f t="shared" si="70"/>
        <v>5.8611543857073475E-3</v>
      </c>
      <c r="H420" s="5">
        <f t="shared" ca="1" si="71"/>
        <v>-32.07668964688677</v>
      </c>
      <c r="I420">
        <f t="shared" ca="1" si="66"/>
        <v>86.161484540291369</v>
      </c>
      <c r="J420">
        <f t="shared" ca="1" si="72"/>
        <v>1.5911497111302769E-2</v>
      </c>
      <c r="K420" s="12">
        <f t="shared" si="67"/>
        <v>104.93787970090185</v>
      </c>
      <c r="L420" s="12">
        <f t="shared" si="68"/>
        <v>0.18760767682540067</v>
      </c>
      <c r="M420" s="12">
        <f t="shared" si="73"/>
        <v>66.351062130429497</v>
      </c>
      <c r="N420" s="12">
        <f t="shared" si="74"/>
        <v>143.52469727137421</v>
      </c>
      <c r="O420" s="14">
        <f t="shared" si="75"/>
        <v>5.150290761884592E-2</v>
      </c>
      <c r="P420" s="15">
        <f t="shared" si="69"/>
        <v>9.7981946755176796E-3</v>
      </c>
    </row>
    <row r="421" spans="1:16" x14ac:dyDescent="0.3">
      <c r="A421">
        <v>419</v>
      </c>
      <c r="B421" s="3">
        <v>45320</v>
      </c>
      <c r="C421">
        <v>84.13</v>
      </c>
      <c r="D421">
        <v>84.79</v>
      </c>
      <c r="E421">
        <v>82.04</v>
      </c>
      <c r="F421">
        <v>82.4</v>
      </c>
      <c r="G421" s="5">
        <f t="shared" si="70"/>
        <v>-6.0192425322943156E-3</v>
      </c>
      <c r="H421" s="5">
        <f t="shared" ca="1" si="71"/>
        <v>-33.170786825338084</v>
      </c>
      <c r="I421">
        <f t="shared" ca="1" si="66"/>
        <v>85.304647351975717</v>
      </c>
      <c r="J421">
        <f t="shared" ca="1" si="72"/>
        <v>-9.9943272885324955E-3</v>
      </c>
      <c r="K421" s="12">
        <f t="shared" si="67"/>
        <v>104.90977855686398</v>
      </c>
      <c r="L421" s="12">
        <f t="shared" si="68"/>
        <v>0.18783586232278421</v>
      </c>
      <c r="M421" s="12">
        <f t="shared" si="73"/>
        <v>66.286373863075056</v>
      </c>
      <c r="N421" s="12">
        <f t="shared" si="74"/>
        <v>143.53318325065291</v>
      </c>
      <c r="O421" s="14">
        <f t="shared" si="75"/>
        <v>5.4745690747204388E-2</v>
      </c>
      <c r="P421" s="15">
        <f t="shared" si="69"/>
        <v>1.1001651686045368E-2</v>
      </c>
    </row>
    <row r="422" spans="1:16" x14ac:dyDescent="0.3">
      <c r="A422">
        <v>420</v>
      </c>
      <c r="B422" s="3">
        <v>45321</v>
      </c>
      <c r="C422">
        <v>82.57</v>
      </c>
      <c r="D422">
        <v>83.25</v>
      </c>
      <c r="E422">
        <v>81.34</v>
      </c>
      <c r="F422">
        <v>82.87</v>
      </c>
      <c r="G422" s="5">
        <f t="shared" si="70"/>
        <v>2.4701271465844134E-3</v>
      </c>
      <c r="H422" s="5">
        <f t="shared" ca="1" si="71"/>
        <v>-32.900964710758231</v>
      </c>
      <c r="I422">
        <f t="shared" ca="1" si="66"/>
        <v>85.510751547288919</v>
      </c>
      <c r="J422">
        <f t="shared" ca="1" si="72"/>
        <v>2.4131816763717602E-3</v>
      </c>
      <c r="K422" s="12">
        <f t="shared" si="67"/>
        <v>104.88168493798574</v>
      </c>
      <c r="L422" s="12">
        <f t="shared" si="68"/>
        <v>0.18806378980336105</v>
      </c>
      <c r="M422" s="12">
        <f t="shared" si="73"/>
        <v>66.221768523202357</v>
      </c>
      <c r="N422" s="12">
        <f t="shared" si="74"/>
        <v>143.54160135276913</v>
      </c>
      <c r="O422" s="14">
        <f t="shared" si="75"/>
        <v>5.3326969768257376E-2</v>
      </c>
      <c r="P422" s="15">
        <f t="shared" si="69"/>
        <v>1.0465764041475978E-2</v>
      </c>
    </row>
    <row r="423" spans="1:16" x14ac:dyDescent="0.3">
      <c r="A423">
        <v>421</v>
      </c>
      <c r="B423" s="3">
        <v>45322</v>
      </c>
      <c r="C423">
        <v>82.59</v>
      </c>
      <c r="D423">
        <v>82.8</v>
      </c>
      <c r="E423">
        <v>81.88</v>
      </c>
      <c r="F423">
        <v>81.709999999999994</v>
      </c>
      <c r="G423" s="5">
        <f t="shared" si="70"/>
        <v>-6.1221283448879013E-3</v>
      </c>
      <c r="H423" s="5">
        <f t="shared" ca="1" si="71"/>
        <v>-32.069428860737275</v>
      </c>
      <c r="I423">
        <f t="shared" ca="1" si="66"/>
        <v>86.156480358559264</v>
      </c>
      <c r="J423">
        <f t="shared" ca="1" si="72"/>
        <v>7.5230648225408942E-3</v>
      </c>
      <c r="K423" s="12">
        <f t="shared" si="67"/>
        <v>104.85359884225198</v>
      </c>
      <c r="L423" s="12">
        <f t="shared" si="68"/>
        <v>0.18829146020568038</v>
      </c>
      <c r="M423" s="12">
        <f t="shared" si="73"/>
        <v>66.157245863948589</v>
      </c>
      <c r="N423" s="12">
        <f t="shared" si="74"/>
        <v>143.54995182055538</v>
      </c>
      <c r="O423" s="14">
        <f t="shared" si="75"/>
        <v>5.6638359403060813E-2</v>
      </c>
      <c r="P423" s="15">
        <f t="shared" si="69"/>
        <v>1.1730651164853171E-2</v>
      </c>
    </row>
    <row r="424" spans="1:16" x14ac:dyDescent="0.3">
      <c r="A424">
        <v>422</v>
      </c>
      <c r="B424" s="3">
        <v>45323</v>
      </c>
      <c r="C424">
        <v>80.67</v>
      </c>
      <c r="D424">
        <v>81.55</v>
      </c>
      <c r="E424">
        <v>78.58</v>
      </c>
      <c r="F424">
        <v>78.7</v>
      </c>
      <c r="G424" s="5">
        <f t="shared" si="70"/>
        <v>-1.63004781397477E-2</v>
      </c>
      <c r="H424" s="5">
        <f t="shared" ca="1" si="71"/>
        <v>-33.292045065309594</v>
      </c>
      <c r="I424">
        <f t="shared" ca="1" si="66"/>
        <v>85.200024653156831</v>
      </c>
      <c r="J424">
        <f t="shared" ca="1" si="72"/>
        <v>-1.11634587590707E-2</v>
      </c>
      <c r="K424" s="12">
        <f t="shared" si="67"/>
        <v>104.8255202676481</v>
      </c>
      <c r="L424" s="12">
        <f t="shared" si="68"/>
        <v>0.18851887446270263</v>
      </c>
      <c r="M424" s="12">
        <f t="shared" si="73"/>
        <v>66.092805639832591</v>
      </c>
      <c r="N424" s="12">
        <f t="shared" si="74"/>
        <v>143.55823489546361</v>
      </c>
      <c r="O424" s="14">
        <f t="shared" si="75"/>
        <v>6.5661367779689617E-2</v>
      </c>
      <c r="P424" s="15">
        <f t="shared" si="69"/>
        <v>1.5498331315783672E-2</v>
      </c>
    </row>
    <row r="425" spans="1:16" x14ac:dyDescent="0.3">
      <c r="A425">
        <v>423</v>
      </c>
      <c r="B425" s="3">
        <v>45324</v>
      </c>
      <c r="C425">
        <v>78.92</v>
      </c>
      <c r="D425">
        <v>79.44</v>
      </c>
      <c r="E425">
        <v>76.86</v>
      </c>
      <c r="F425">
        <v>77.33</v>
      </c>
      <c r="G425" s="5">
        <f t="shared" si="70"/>
        <v>-7.6267221810155678E-3</v>
      </c>
      <c r="H425" s="5">
        <f t="shared" ca="1" si="71"/>
        <v>-35.426866461649091</v>
      </c>
      <c r="I425">
        <f t="shared" ca="1" si="66"/>
        <v>83.557914408777265</v>
      </c>
      <c r="J425">
        <f t="shared" ca="1" si="72"/>
        <v>-1.9461746020283676E-2</v>
      </c>
      <c r="K425" s="12">
        <f t="shared" si="67"/>
        <v>104.79744921216002</v>
      </c>
      <c r="L425" s="12">
        <f t="shared" si="68"/>
        <v>0.18874603350184768</v>
      </c>
      <c r="M425" s="12">
        <f t="shared" si="73"/>
        <v>66.028447606743214</v>
      </c>
      <c r="N425" s="12">
        <f t="shared" si="74"/>
        <v>143.56645081757685</v>
      </c>
      <c r="O425" s="14">
        <f t="shared" si="75"/>
        <v>6.9903800086023482E-2</v>
      </c>
      <c r="P425" s="15">
        <f t="shared" si="69"/>
        <v>1.7424713281529915E-2</v>
      </c>
    </row>
    <row r="426" spans="1:16" x14ac:dyDescent="0.3">
      <c r="A426">
        <v>424</v>
      </c>
      <c r="B426" s="3">
        <v>45327</v>
      </c>
      <c r="C426">
        <v>77.66</v>
      </c>
      <c r="D426">
        <v>78.33</v>
      </c>
      <c r="E426">
        <v>76.62</v>
      </c>
      <c r="F426">
        <v>77.989999999999995</v>
      </c>
      <c r="G426" s="5">
        <f t="shared" si="70"/>
        <v>3.6909101632425518E-3</v>
      </c>
      <c r="H426" s="5">
        <f t="shared" ca="1" si="71"/>
        <v>-35.033523837784855</v>
      </c>
      <c r="I426">
        <f t="shared" ca="1" si="66"/>
        <v>83.853968779734032</v>
      </c>
      <c r="J426">
        <f t="shared" ca="1" si="72"/>
        <v>3.5368418768879015E-3</v>
      </c>
      <c r="K426" s="12">
        <f t="shared" si="67"/>
        <v>104.76938567377421</v>
      </c>
      <c r="L426" s="12">
        <f t="shared" si="68"/>
        <v>0.1889729382450383</v>
      </c>
      <c r="M426" s="12">
        <f t="shared" si="73"/>
        <v>65.964171521928776</v>
      </c>
      <c r="N426" s="12">
        <f t="shared" si="74"/>
        <v>143.57459982561966</v>
      </c>
      <c r="O426" s="14">
        <f t="shared" si="75"/>
        <v>6.7755200840606183E-2</v>
      </c>
      <c r="P426" s="15">
        <f t="shared" si="69"/>
        <v>1.6434080335043282E-2</v>
      </c>
    </row>
    <row r="427" spans="1:16" x14ac:dyDescent="0.3">
      <c r="A427">
        <v>425</v>
      </c>
      <c r="B427" s="3">
        <v>45328</v>
      </c>
      <c r="C427">
        <v>77.94</v>
      </c>
      <c r="D427">
        <v>79.069999999999993</v>
      </c>
      <c r="E427">
        <v>77.650000000000006</v>
      </c>
      <c r="F427">
        <v>78.59</v>
      </c>
      <c r="G427" s="5">
        <f t="shared" si="70"/>
        <v>3.3283684320702541E-3</v>
      </c>
      <c r="H427" s="5">
        <f t="shared" ca="1" si="71"/>
        <v>-35.008732413742827</v>
      </c>
      <c r="I427">
        <f t="shared" ca="1" si="66"/>
        <v>83.869411837324819</v>
      </c>
      <c r="J427">
        <f t="shared" ca="1" si="72"/>
        <v>1.8414913386085655E-4</v>
      </c>
      <c r="K427" s="12">
        <f t="shared" si="67"/>
        <v>104.74132965047768</v>
      </c>
      <c r="L427" s="12">
        <f t="shared" si="68"/>
        <v>0.18919958960874866</v>
      </c>
      <c r="M427" s="12">
        <f t="shared" si="73"/>
        <v>65.89997714398541</v>
      </c>
      <c r="N427" s="12">
        <f t="shared" si="74"/>
        <v>143.58268215696995</v>
      </c>
      <c r="O427" s="14">
        <f t="shared" si="75"/>
        <v>6.5818796581383024E-2</v>
      </c>
      <c r="P427" s="15">
        <f t="shared" si="69"/>
        <v>1.5562760610312426E-2</v>
      </c>
    </row>
    <row r="428" spans="1:16" x14ac:dyDescent="0.3">
      <c r="A428">
        <v>426</v>
      </c>
      <c r="B428" s="3">
        <v>45329</v>
      </c>
      <c r="C428">
        <v>78.7</v>
      </c>
      <c r="D428">
        <v>79.47</v>
      </c>
      <c r="E428">
        <v>78.489999999999995</v>
      </c>
      <c r="F428">
        <v>79.209999999999994</v>
      </c>
      <c r="G428" s="5">
        <f t="shared" si="70"/>
        <v>3.4127245164637032E-3</v>
      </c>
      <c r="H428" s="5">
        <f t="shared" ca="1" si="71"/>
        <v>-34.023210940582629</v>
      </c>
      <c r="I428">
        <f t="shared" ca="1" si="66"/>
        <v>84.621200563692881</v>
      </c>
      <c r="J428">
        <f t="shared" ca="1" si="72"/>
        <v>8.923864715414535E-3</v>
      </c>
      <c r="K428" s="12">
        <f t="shared" si="67"/>
        <v>104.71328114025796</v>
      </c>
      <c r="L428" s="12">
        <f t="shared" si="68"/>
        <v>0.18942598850404499</v>
      </c>
      <c r="M428" s="12">
        <f t="shared" si="73"/>
        <v>65.835864232847101</v>
      </c>
      <c r="N428" s="12">
        <f t="shared" si="74"/>
        <v>143.59069804766884</v>
      </c>
      <c r="O428" s="14">
        <f t="shared" si="75"/>
        <v>6.3841916427787096E-2</v>
      </c>
      <c r="P428" s="15">
        <f t="shared" si="69"/>
        <v>1.4694713866660734E-2</v>
      </c>
    </row>
    <row r="429" spans="1:16" x14ac:dyDescent="0.3">
      <c r="A429">
        <v>427</v>
      </c>
      <c r="B429" s="3">
        <v>45330</v>
      </c>
      <c r="C429">
        <v>79.38</v>
      </c>
      <c r="D429">
        <v>81.89</v>
      </c>
      <c r="E429">
        <v>79.02</v>
      </c>
      <c r="F429">
        <v>81.63</v>
      </c>
      <c r="G429" s="5">
        <f t="shared" si="70"/>
        <v>1.3069783209594553E-2</v>
      </c>
      <c r="H429" s="5">
        <f t="shared" ca="1" si="71"/>
        <v>-32.293024596068619</v>
      </c>
      <c r="I429">
        <f t="shared" ca="1" si="66"/>
        <v>85.960069349991883</v>
      </c>
      <c r="J429">
        <f t="shared" ca="1" si="72"/>
        <v>1.569804564707214E-2</v>
      </c>
      <c r="K429" s="12">
        <f t="shared" si="67"/>
        <v>104.68524014110315</v>
      </c>
      <c r="L429" s="12">
        <f t="shared" si="68"/>
        <v>0.18965213583663543</v>
      </c>
      <c r="M429" s="12">
        <f t="shared" si="73"/>
        <v>65.771832549773819</v>
      </c>
      <c r="N429" s="12">
        <f t="shared" si="74"/>
        <v>143.59864773243248</v>
      </c>
      <c r="O429" s="14">
        <f t="shared" si="75"/>
        <v>5.6508443981479715E-2</v>
      </c>
      <c r="P429" s="15">
        <f t="shared" si="69"/>
        <v>1.16717032107527E-2</v>
      </c>
    </row>
    <row r="430" spans="1:16" x14ac:dyDescent="0.3">
      <c r="A430">
        <v>428</v>
      </c>
      <c r="B430" s="3">
        <v>45331</v>
      </c>
      <c r="C430">
        <v>81.73</v>
      </c>
      <c r="D430">
        <v>82.46</v>
      </c>
      <c r="E430">
        <v>81.209999999999994</v>
      </c>
      <c r="F430">
        <v>82.19</v>
      </c>
      <c r="G430" s="5">
        <f t="shared" si="70"/>
        <v>2.9691839480529823E-3</v>
      </c>
      <c r="H430" s="5">
        <f t="shared" ca="1" si="71"/>
        <v>-31.399137081733006</v>
      </c>
      <c r="I430">
        <f t="shared" ca="1" si="66"/>
        <v>86.658330700199699</v>
      </c>
      <c r="J430">
        <f t="shared" ca="1" si="72"/>
        <v>8.0902749484727723E-3</v>
      </c>
      <c r="K430" s="12">
        <f t="shared" si="67"/>
        <v>104.65720665100189</v>
      </c>
      <c r="L430" s="12">
        <f t="shared" si="68"/>
        <v>0.18987803250690974</v>
      </c>
      <c r="M430" s="12">
        <f t="shared" si="73"/>
        <v>65.707881857341718</v>
      </c>
      <c r="N430" s="12">
        <f t="shared" si="74"/>
        <v>143.60653144466204</v>
      </c>
      <c r="O430" s="14">
        <f t="shared" si="75"/>
        <v>5.4809441343011953E-2</v>
      </c>
      <c r="P430" s="15">
        <f t="shared" si="69"/>
        <v>1.1014535788343582E-2</v>
      </c>
    </row>
    <row r="431" spans="1:16" x14ac:dyDescent="0.3">
      <c r="A431">
        <v>429</v>
      </c>
      <c r="B431" s="3">
        <v>45334</v>
      </c>
      <c r="C431">
        <v>81.760000000000005</v>
      </c>
      <c r="D431">
        <v>82.21</v>
      </c>
      <c r="E431">
        <v>80.790000000000006</v>
      </c>
      <c r="F431">
        <v>82</v>
      </c>
      <c r="G431" s="5">
        <f t="shared" si="70"/>
        <v>-1.0051280637564288E-3</v>
      </c>
      <c r="H431" s="5">
        <f t="shared" ca="1" si="71"/>
        <v>-30.571452202626524</v>
      </c>
      <c r="I431">
        <f t="shared" ca="1" si="66"/>
        <v>87.309666685408601</v>
      </c>
      <c r="J431">
        <f t="shared" ca="1" si="72"/>
        <v>7.4880327232156301E-3</v>
      </c>
      <c r="K431" s="12">
        <f t="shared" si="67"/>
        <v>104.6291806679433</v>
      </c>
      <c r="L431" s="12">
        <f t="shared" si="68"/>
        <v>0.19010367940998363</v>
      </c>
      <c r="M431" s="12">
        <f t="shared" si="73"/>
        <v>65.644011919432515</v>
      </c>
      <c r="N431" s="12">
        <f t="shared" si="74"/>
        <v>143.61434941645408</v>
      </c>
      <c r="O431" s="14">
        <f t="shared" si="75"/>
        <v>5.5302647086672825E-2</v>
      </c>
      <c r="P431" s="15">
        <f t="shared" si="69"/>
        <v>1.1201888008402935E-2</v>
      </c>
    </row>
    <row r="432" spans="1:16" x14ac:dyDescent="0.3">
      <c r="A432">
        <v>430</v>
      </c>
      <c r="B432" s="3">
        <v>45335</v>
      </c>
      <c r="C432">
        <v>82.05</v>
      </c>
      <c r="D432">
        <v>83.23</v>
      </c>
      <c r="E432">
        <v>81.96</v>
      </c>
      <c r="F432">
        <v>82.77</v>
      </c>
      <c r="G432" s="5">
        <f t="shared" si="70"/>
        <v>4.0591028151311676E-3</v>
      </c>
      <c r="H432" s="5">
        <f t="shared" ca="1" si="71"/>
        <v>-31.427064211576088</v>
      </c>
      <c r="I432">
        <f t="shared" ca="1" si="66"/>
        <v>86.629148541687599</v>
      </c>
      <c r="J432">
        <f t="shared" ca="1" si="72"/>
        <v>-7.8248390396977348E-3</v>
      </c>
      <c r="K432" s="12">
        <f t="shared" si="67"/>
        <v>104.60116218991712</v>
      </c>
      <c r="L432" s="12">
        <f t="shared" si="68"/>
        <v>0.19032907743574279</v>
      </c>
      <c r="M432" s="12">
        <f t="shared" si="73"/>
        <v>65.580222501222792</v>
      </c>
      <c r="N432" s="12">
        <f t="shared" si="74"/>
        <v>143.62210187861143</v>
      </c>
      <c r="O432" s="14">
        <f t="shared" si="75"/>
        <v>5.3008492762845479E-2</v>
      </c>
      <c r="P432" s="15">
        <f t="shared" si="69"/>
        <v>1.0335478347268862E-2</v>
      </c>
    </row>
    <row r="433" spans="1:16" x14ac:dyDescent="0.3">
      <c r="A433">
        <v>431</v>
      </c>
      <c r="B433" s="3">
        <v>45336</v>
      </c>
      <c r="C433">
        <v>82.66</v>
      </c>
      <c r="D433">
        <v>83.61</v>
      </c>
      <c r="E433">
        <v>81.39</v>
      </c>
      <c r="F433">
        <v>81.599999999999994</v>
      </c>
      <c r="G433" s="5">
        <f t="shared" si="70"/>
        <v>-6.182796444986767E-3</v>
      </c>
      <c r="H433" s="5">
        <f t="shared" ca="1" si="71"/>
        <v>-29.829169855006295</v>
      </c>
      <c r="I433">
        <f t="shared" ca="1" si="66"/>
        <v>87.893946905271008</v>
      </c>
      <c r="J433">
        <f t="shared" ca="1" si="72"/>
        <v>1.4494591722202969E-2</v>
      </c>
      <c r="K433" s="12">
        <f t="shared" si="67"/>
        <v>104.57315121491358</v>
      </c>
      <c r="L433" s="12">
        <f t="shared" si="68"/>
        <v>0.19055422746888681</v>
      </c>
      <c r="M433" s="12">
        <f t="shared" si="73"/>
        <v>65.516513369173495</v>
      </c>
      <c r="N433" s="12">
        <f t="shared" si="74"/>
        <v>143.62978906065368</v>
      </c>
      <c r="O433" s="14">
        <f t="shared" si="75"/>
        <v>5.6353293461430927E-2</v>
      </c>
      <c r="P433" s="15">
        <f t="shared" si="69"/>
        <v>1.1605760769373134E-2</v>
      </c>
    </row>
    <row r="434" spans="1:16" x14ac:dyDescent="0.3">
      <c r="A434">
        <v>432</v>
      </c>
      <c r="B434" s="3">
        <v>45337</v>
      </c>
      <c r="C434">
        <v>81.52</v>
      </c>
      <c r="D434">
        <v>83.25</v>
      </c>
      <c r="E434">
        <v>80.72</v>
      </c>
      <c r="F434">
        <v>82.86</v>
      </c>
      <c r="G434" s="5">
        <f t="shared" si="70"/>
        <v>6.6547702084138417E-3</v>
      </c>
      <c r="H434" s="5">
        <f t="shared" ca="1" si="71"/>
        <v>-30.842878187728605</v>
      </c>
      <c r="I434">
        <f t="shared" ca="1" si="66"/>
        <v>87.083541506896637</v>
      </c>
      <c r="J434">
        <f t="shared" ca="1" si="72"/>
        <v>-9.2630337808027267E-3</v>
      </c>
      <c r="K434" s="12">
        <f t="shared" si="67"/>
        <v>104.54514774092344</v>
      </c>
      <c r="L434" s="12">
        <f t="shared" si="68"/>
        <v>0.19077913038896718</v>
      </c>
      <c r="M434" s="12">
        <f t="shared" si="73"/>
        <v>65.452884291020482</v>
      </c>
      <c r="N434" s="12">
        <f t="shared" si="74"/>
        <v>143.63741119082641</v>
      </c>
      <c r="O434" s="14">
        <f t="shared" si="75"/>
        <v>5.2628153677591945E-2</v>
      </c>
      <c r="P434" s="15">
        <f t="shared" si="69"/>
        <v>1.0192709934027901E-2</v>
      </c>
    </row>
    <row r="435" spans="1:16" x14ac:dyDescent="0.3">
      <c r="A435">
        <v>433</v>
      </c>
      <c r="B435" s="3">
        <v>45338</v>
      </c>
      <c r="C435">
        <v>82.83</v>
      </c>
      <c r="D435">
        <v>83.66</v>
      </c>
      <c r="E435">
        <v>81.900000000000006</v>
      </c>
      <c r="F435">
        <v>83.47</v>
      </c>
      <c r="G435" s="5">
        <f t="shared" si="70"/>
        <v>3.1854845389674893E-3</v>
      </c>
      <c r="H435" s="5">
        <f t="shared" ca="1" si="71"/>
        <v>-30.837850833829762</v>
      </c>
      <c r="I435">
        <f t="shared" ca="1" si="66"/>
        <v>87.083920872140638</v>
      </c>
      <c r="J435">
        <f t="shared" ca="1" si="72"/>
        <v>4.3563273968611919E-6</v>
      </c>
      <c r="K435" s="12">
        <f t="shared" si="67"/>
        <v>104.51715176593804</v>
      </c>
      <c r="L435" s="12">
        <f t="shared" si="68"/>
        <v>0.19100378707043256</v>
      </c>
      <c r="M435" s="12">
        <f t="shared" si="73"/>
        <v>65.389335035763793</v>
      </c>
      <c r="N435" s="12">
        <f t="shared" si="74"/>
        <v>143.64496849611228</v>
      </c>
      <c r="O435" s="14">
        <f t="shared" si="75"/>
        <v>5.0822590116609223E-2</v>
      </c>
      <c r="P435" s="15">
        <f t="shared" si="69"/>
        <v>9.5369194543249002E-3</v>
      </c>
    </row>
    <row r="436" spans="1:16" x14ac:dyDescent="0.3">
      <c r="A436">
        <v>434</v>
      </c>
      <c r="B436" s="3">
        <v>45342</v>
      </c>
      <c r="C436">
        <v>83.3</v>
      </c>
      <c r="D436">
        <v>83.63</v>
      </c>
      <c r="E436">
        <v>82.05</v>
      </c>
      <c r="F436">
        <v>82.34</v>
      </c>
      <c r="G436" s="5">
        <f t="shared" si="70"/>
        <v>-5.9195508397751114E-3</v>
      </c>
      <c r="H436" s="5">
        <f t="shared" ca="1" si="71"/>
        <v>-32.301660018311033</v>
      </c>
      <c r="I436">
        <f t="shared" ca="1" si="66"/>
        <v>85.928424942428521</v>
      </c>
      <c r="J436">
        <f t="shared" ca="1" si="72"/>
        <v>-1.3357579830444057E-2</v>
      </c>
      <c r="K436" s="12">
        <f t="shared" si="67"/>
        <v>104.48916328794921</v>
      </c>
      <c r="L436" s="12">
        <f t="shared" si="68"/>
        <v>0.19122819838266999</v>
      </c>
      <c r="M436" s="12">
        <f t="shared" si="73"/>
        <v>65.325865373657592</v>
      </c>
      <c r="N436" s="12">
        <f t="shared" si="74"/>
        <v>143.65246120224083</v>
      </c>
      <c r="O436" s="14">
        <f t="shared" si="75"/>
        <v>5.4009084449901198E-2</v>
      </c>
      <c r="P436" s="15">
        <f t="shared" si="69"/>
        <v>1.070405206195151E-2</v>
      </c>
    </row>
    <row r="437" spans="1:16" x14ac:dyDescent="0.3">
      <c r="A437">
        <v>435</v>
      </c>
      <c r="B437" s="3">
        <v>45343</v>
      </c>
      <c r="C437">
        <v>82.56</v>
      </c>
      <c r="D437">
        <v>83.17</v>
      </c>
      <c r="E437">
        <v>81.67</v>
      </c>
      <c r="F437">
        <v>83.03</v>
      </c>
      <c r="G437" s="5">
        <f t="shared" si="70"/>
        <v>3.6241752617835903E-3</v>
      </c>
      <c r="H437" s="5">
        <f t="shared" ca="1" si="71"/>
        <v>-31.4245823346529</v>
      </c>
      <c r="I437">
        <f t="shared" ca="1" si="66"/>
        <v>86.613183494786625</v>
      </c>
      <c r="J437">
        <f t="shared" ca="1" si="72"/>
        <v>7.9373567179769761E-3</v>
      </c>
      <c r="K437" s="12">
        <f t="shared" si="67"/>
        <v>104.46118230494936</v>
      </c>
      <c r="L437" s="12">
        <f t="shared" si="68"/>
        <v>0.19145236519004302</v>
      </c>
      <c r="M437" s="12">
        <f t="shared" si="73"/>
        <v>65.262475076200943</v>
      </c>
      <c r="N437" s="12">
        <f t="shared" si="74"/>
        <v>143.65988953369776</v>
      </c>
      <c r="O437" s="14">
        <f t="shared" si="75"/>
        <v>5.1958148447329086E-2</v>
      </c>
      <c r="P437" s="15">
        <f t="shared" si="69"/>
        <v>9.9440582577132956E-3</v>
      </c>
    </row>
    <row r="438" spans="1:16" x14ac:dyDescent="0.3">
      <c r="A438">
        <v>436</v>
      </c>
      <c r="B438" s="3">
        <v>45344</v>
      </c>
      <c r="C438">
        <v>83.16</v>
      </c>
      <c r="D438">
        <v>83.97</v>
      </c>
      <c r="E438">
        <v>82.34</v>
      </c>
      <c r="F438">
        <v>83.67</v>
      </c>
      <c r="G438" s="5">
        <f t="shared" si="70"/>
        <v>3.3347310624614588E-3</v>
      </c>
      <c r="H438" s="5">
        <f t="shared" ca="1" si="71"/>
        <v>-30.153054255990895</v>
      </c>
      <c r="I438">
        <f t="shared" ca="1" si="66"/>
        <v>87.617232053909746</v>
      </c>
      <c r="J438">
        <f t="shared" ca="1" si="72"/>
        <v>1.1525653208265372E-2</v>
      </c>
      <c r="K438" s="12">
        <f t="shared" si="67"/>
        <v>104.43320881493142</v>
      </c>
      <c r="L438" s="12">
        <f t="shared" si="68"/>
        <v>0.19167628835193484</v>
      </c>
      <c r="M438" s="12">
        <f t="shared" si="73"/>
        <v>65.199163916127318</v>
      </c>
      <c r="N438" s="12">
        <f t="shared" si="74"/>
        <v>143.66725371373551</v>
      </c>
      <c r="O438" s="14">
        <f t="shared" si="75"/>
        <v>5.0073009005515673E-2</v>
      </c>
      <c r="P438" s="15">
        <f t="shared" si="69"/>
        <v>9.2676921265086379E-3</v>
      </c>
    </row>
    <row r="439" spans="1:16" x14ac:dyDescent="0.3">
      <c r="A439">
        <v>437</v>
      </c>
      <c r="B439" s="3">
        <v>45345</v>
      </c>
      <c r="C439">
        <v>83.42</v>
      </c>
      <c r="D439">
        <v>83.48</v>
      </c>
      <c r="E439">
        <v>81.44</v>
      </c>
      <c r="F439">
        <v>81.62</v>
      </c>
      <c r="G439" s="5">
        <f t="shared" si="70"/>
        <v>-1.0773178548460173E-2</v>
      </c>
      <c r="H439" s="5">
        <f t="shared" ca="1" si="71"/>
        <v>-29.679207596841639</v>
      </c>
      <c r="I439">
        <f t="shared" ca="1" si="66"/>
        <v>87.992085664194278</v>
      </c>
      <c r="J439">
        <f t="shared" ca="1" si="72"/>
        <v>4.2691832585321091E-3</v>
      </c>
      <c r="K439" s="12">
        <f t="shared" si="67"/>
        <v>104.40524281588884</v>
      </c>
      <c r="L439" s="12">
        <f t="shared" si="68"/>
        <v>0.19189996872278792</v>
      </c>
      <c r="M439" s="12">
        <f t="shared" si="73"/>
        <v>65.135931667395113</v>
      </c>
      <c r="N439" s="12">
        <f t="shared" si="74"/>
        <v>143.67455396438257</v>
      </c>
      <c r="O439" s="14">
        <f t="shared" si="75"/>
        <v>5.5929442416801645E-2</v>
      </c>
      <c r="P439" s="15">
        <f t="shared" si="69"/>
        <v>1.1433109023861493E-2</v>
      </c>
    </row>
    <row r="440" spans="1:16" x14ac:dyDescent="0.3">
      <c r="A440">
        <v>438</v>
      </c>
      <c r="B440" s="3">
        <v>45348</v>
      </c>
      <c r="C440">
        <v>81.59</v>
      </c>
      <c r="D440">
        <v>83.06</v>
      </c>
      <c r="E440">
        <v>81.02</v>
      </c>
      <c r="F440">
        <v>82.53</v>
      </c>
      <c r="G440" s="5">
        <f t="shared" si="70"/>
        <v>4.8152546720938655E-3</v>
      </c>
      <c r="H440" s="5">
        <f t="shared" ca="1" si="71"/>
        <v>-31.758853473472669</v>
      </c>
      <c r="I440">
        <f t="shared" ca="1" si="66"/>
        <v>86.339487809465822</v>
      </c>
      <c r="J440">
        <f t="shared" ca="1" si="72"/>
        <v>-1.8959816940664512E-2</v>
      </c>
      <c r="K440" s="12">
        <f t="shared" si="67"/>
        <v>104.37728430581565</v>
      </c>
      <c r="L440" s="12">
        <f t="shared" si="68"/>
        <v>0.19212340715214174</v>
      </c>
      <c r="M440" s="12">
        <f t="shared" si="73"/>
        <v>65.072778105178344</v>
      </c>
      <c r="N440" s="12">
        <f t="shared" si="74"/>
        <v>143.68179050645296</v>
      </c>
      <c r="O440" s="14">
        <f t="shared" si="75"/>
        <v>5.321586022675838E-2</v>
      </c>
      <c r="P440" s="15">
        <f t="shared" si="69"/>
        <v>1.0402806238136064E-2</v>
      </c>
    </row>
    <row r="441" spans="1:16" x14ac:dyDescent="0.3">
      <c r="A441">
        <v>439</v>
      </c>
      <c r="B441" s="3">
        <v>45349</v>
      </c>
      <c r="C441">
        <v>82.55</v>
      </c>
      <c r="D441">
        <v>83.74</v>
      </c>
      <c r="E441">
        <v>82.1</v>
      </c>
      <c r="F441">
        <v>83.65</v>
      </c>
      <c r="G441" s="5">
        <f t="shared" si="70"/>
        <v>5.8541001890674059E-3</v>
      </c>
      <c r="H441" s="5">
        <f t="shared" ca="1" si="71"/>
        <v>-30.847071003714746</v>
      </c>
      <c r="I441">
        <f t="shared" ca="1" si="66"/>
        <v>87.055001701712442</v>
      </c>
      <c r="J441">
        <f t="shared" ca="1" si="72"/>
        <v>8.2530645071827863E-3</v>
      </c>
      <c r="K441" s="12">
        <f t="shared" si="67"/>
        <v>104.34933328270637</v>
      </c>
      <c r="L441" s="12">
        <f t="shared" si="68"/>
        <v>0.19234660448467439</v>
      </c>
      <c r="M441" s="12">
        <f t="shared" si="73"/>
        <v>65.009703005856721</v>
      </c>
      <c r="N441" s="12">
        <f t="shared" si="74"/>
        <v>143.68896355955602</v>
      </c>
      <c r="O441" s="14">
        <f t="shared" si="75"/>
        <v>4.9948210274902718E-2</v>
      </c>
      <c r="P441" s="15">
        <f t="shared" si="69"/>
        <v>9.2205573534327977E-3</v>
      </c>
    </row>
    <row r="442" spans="1:16" x14ac:dyDescent="0.3">
      <c r="A442">
        <v>440</v>
      </c>
      <c r="B442" s="3">
        <v>45350</v>
      </c>
      <c r="C442">
        <v>83.4</v>
      </c>
      <c r="D442">
        <v>84.3</v>
      </c>
      <c r="E442">
        <v>82.62</v>
      </c>
      <c r="F442">
        <v>83.68</v>
      </c>
      <c r="G442" s="5">
        <f t="shared" si="70"/>
        <v>1.5572622478575028E-4</v>
      </c>
      <c r="H442" s="5">
        <f t="shared" ca="1" si="71"/>
        <v>-30.449506886536643</v>
      </c>
      <c r="I442">
        <f t="shared" ca="1" si="66"/>
        <v>87.366801674981687</v>
      </c>
      <c r="J442">
        <f t="shared" ca="1" si="72"/>
        <v>3.5752446008650378E-3</v>
      </c>
      <c r="K442" s="12">
        <f t="shared" si="67"/>
        <v>104.32138974455607</v>
      </c>
      <c r="L442" s="12">
        <f t="shared" si="68"/>
        <v>0.1925695615602396</v>
      </c>
      <c r="M442" s="12">
        <f t="shared" si="73"/>
        <v>64.946706147006552</v>
      </c>
      <c r="N442" s="12">
        <f t="shared" si="74"/>
        <v>143.69607334210559</v>
      </c>
      <c r="O442" s="14">
        <f t="shared" si="75"/>
        <v>4.9802669910790992E-2</v>
      </c>
      <c r="P442" s="15">
        <f t="shared" si="69"/>
        <v>9.1683866109083488E-3</v>
      </c>
    </row>
    <row r="443" spans="1:16" x14ac:dyDescent="0.3">
      <c r="A443">
        <v>441</v>
      </c>
      <c r="B443" s="3">
        <v>45351</v>
      </c>
      <c r="C443">
        <v>83.65</v>
      </c>
      <c r="D443">
        <v>83.74</v>
      </c>
      <c r="E443">
        <v>83.04</v>
      </c>
      <c r="F443">
        <v>83.62</v>
      </c>
      <c r="G443" s="5">
        <f t="shared" si="70"/>
        <v>-3.1150830880310255E-4</v>
      </c>
      <c r="H443" s="5">
        <f t="shared" ca="1" si="71"/>
        <v>-29.649240857282422</v>
      </c>
      <c r="I443">
        <f t="shared" ca="1" si="66"/>
        <v>88.001509849935033</v>
      </c>
      <c r="J443">
        <f t="shared" ca="1" si="72"/>
        <v>7.2386047496634911E-3</v>
      </c>
      <c r="K443" s="12">
        <f t="shared" si="67"/>
        <v>104.29345368936039</v>
      </c>
      <c r="L443" s="12">
        <f t="shared" si="68"/>
        <v>0.19279227921390696</v>
      </c>
      <c r="M443" s="12">
        <f t="shared" si="73"/>
        <v>64.883787307391174</v>
      </c>
      <c r="N443" s="12">
        <f t="shared" si="74"/>
        <v>143.70312007132961</v>
      </c>
      <c r="O443" s="14">
        <f t="shared" si="75"/>
        <v>4.9912281601555974E-2</v>
      </c>
      <c r="P443" s="15">
        <f t="shared" si="69"/>
        <v>9.205804969919483E-3</v>
      </c>
    </row>
    <row r="444" spans="1:16" x14ac:dyDescent="0.3">
      <c r="A444">
        <v>442</v>
      </c>
      <c r="B444" s="3">
        <v>45352</v>
      </c>
      <c r="C444">
        <v>81.97</v>
      </c>
      <c r="D444">
        <v>84.35</v>
      </c>
      <c r="E444">
        <v>81.81</v>
      </c>
      <c r="F444">
        <v>83.55</v>
      </c>
      <c r="G444" s="5">
        <f t="shared" si="70"/>
        <v>-3.6370898498579634E-4</v>
      </c>
      <c r="H444" s="5">
        <f t="shared" ca="1" si="71"/>
        <v>-30.726283039102825</v>
      </c>
      <c r="I444">
        <f t="shared" ca="1" si="66"/>
        <v>87.139893012391411</v>
      </c>
      <c r="J444">
        <f t="shared" ca="1" si="72"/>
        <v>-9.8391787950138036E-3</v>
      </c>
      <c r="K444" s="12">
        <f t="shared" si="67"/>
        <v>104.26552511511547</v>
      </c>
      <c r="L444" s="12">
        <f t="shared" si="68"/>
        <v>0.19301475827599748</v>
      </c>
      <c r="M444" s="12">
        <f t="shared" si="73"/>
        <v>64.820946266952106</v>
      </c>
      <c r="N444" s="12">
        <f t="shared" si="74"/>
        <v>143.71010396327884</v>
      </c>
      <c r="O444" s="14">
        <f t="shared" si="75"/>
        <v>5.0050447752108755E-2</v>
      </c>
      <c r="P444" s="15">
        <f t="shared" si="69"/>
        <v>9.2533396181814324E-3</v>
      </c>
    </row>
    <row r="445" spans="1:16" x14ac:dyDescent="0.3">
      <c r="A445">
        <v>443</v>
      </c>
      <c r="B445" s="3">
        <v>45355</v>
      </c>
      <c r="C445">
        <v>83.59</v>
      </c>
      <c r="D445">
        <v>84.07</v>
      </c>
      <c r="E445">
        <v>82.58</v>
      </c>
      <c r="F445">
        <v>82.8</v>
      </c>
      <c r="G445" s="5">
        <f t="shared" si="70"/>
        <v>-3.9161174445300128E-3</v>
      </c>
      <c r="H445" s="5">
        <f t="shared" ca="1" si="71"/>
        <v>-32.02359905370534</v>
      </c>
      <c r="I445">
        <f t="shared" ca="1" si="66"/>
        <v>86.113982234737364</v>
      </c>
      <c r="J445">
        <f t="shared" ca="1" si="72"/>
        <v>-1.1842999379518025E-2</v>
      </c>
      <c r="K445" s="12">
        <f t="shared" si="67"/>
        <v>104.23760401981799</v>
      </c>
      <c r="L445" s="12">
        <f t="shared" si="68"/>
        <v>0.19323699957212362</v>
      </c>
      <c r="M445" s="12">
        <f t="shared" si="73"/>
        <v>64.758182806799539</v>
      </c>
      <c r="N445" s="12">
        <f t="shared" si="74"/>
        <v>143.71702523283645</v>
      </c>
      <c r="O445" s="14">
        <f t="shared" si="75"/>
        <v>5.2133734034045434E-2</v>
      </c>
      <c r="P445" s="15">
        <f t="shared" si="69"/>
        <v>9.9988167244403035E-3</v>
      </c>
    </row>
    <row r="446" spans="1:16" x14ac:dyDescent="0.3">
      <c r="A446">
        <v>444</v>
      </c>
      <c r="B446" s="3">
        <v>45356</v>
      </c>
      <c r="C446">
        <v>82.97</v>
      </c>
      <c r="D446">
        <v>83.14</v>
      </c>
      <c r="E446">
        <v>81.73</v>
      </c>
      <c r="F446">
        <v>82.04</v>
      </c>
      <c r="G446" s="5">
        <f t="shared" si="70"/>
        <v>-4.0046850885514162E-3</v>
      </c>
      <c r="H446" s="5">
        <f t="shared" ca="1" si="71"/>
        <v>-31.700347227819631</v>
      </c>
      <c r="I446">
        <f t="shared" ca="1" si="66"/>
        <v>86.364008675125902</v>
      </c>
      <c r="J446">
        <f t="shared" ca="1" si="72"/>
        <v>2.8992292199519201E-3</v>
      </c>
      <c r="K446" s="12">
        <f t="shared" si="67"/>
        <v>104.2096904014652</v>
      </c>
      <c r="L446" s="12">
        <f t="shared" si="68"/>
        <v>0.1934590039232254</v>
      </c>
      <c r="M446" s="12">
        <f t="shared" si="73"/>
        <v>64.695496709203482</v>
      </c>
      <c r="N446" s="12">
        <f t="shared" si="74"/>
        <v>143.72388409372689</v>
      </c>
      <c r="O446" s="14">
        <f t="shared" si="75"/>
        <v>5.4274326917479729E-2</v>
      </c>
      <c r="P446" s="15">
        <f t="shared" si="69"/>
        <v>1.0791564238384814E-2</v>
      </c>
    </row>
    <row r="447" spans="1:16" x14ac:dyDescent="0.3">
      <c r="A447">
        <v>445</v>
      </c>
      <c r="B447" s="3">
        <v>45357</v>
      </c>
      <c r="C447">
        <v>82.08</v>
      </c>
      <c r="D447">
        <v>84.06</v>
      </c>
      <c r="E447">
        <v>81.89</v>
      </c>
      <c r="F447">
        <v>82.96</v>
      </c>
      <c r="G447" s="5">
        <f t="shared" si="70"/>
        <v>4.8430916846558198E-3</v>
      </c>
      <c r="H447" s="5">
        <f t="shared" ca="1" si="71"/>
        <v>-31.186323806931096</v>
      </c>
      <c r="I447">
        <f t="shared" ca="1" si="66"/>
        <v>86.76520629006977</v>
      </c>
      <c r="J447">
        <f t="shared" ca="1" si="72"/>
        <v>4.6346693499806175E-3</v>
      </c>
      <c r="K447" s="12">
        <f t="shared" si="67"/>
        <v>104.18178425805482</v>
      </c>
      <c r="L447" s="12">
        <f t="shared" si="68"/>
        <v>0.19368077214560608</v>
      </c>
      <c r="M447" s="12">
        <f t="shared" si="73"/>
        <v>64.632887757585081</v>
      </c>
      <c r="N447" s="12">
        <f t="shared" si="74"/>
        <v>143.73068075852456</v>
      </c>
      <c r="O447" s="14">
        <f t="shared" si="75"/>
        <v>5.1552795373870954E-2</v>
      </c>
      <c r="P447" s="15">
        <f t="shared" si="69"/>
        <v>9.7857693616737254E-3</v>
      </c>
    </row>
    <row r="448" spans="1:16" x14ac:dyDescent="0.3">
      <c r="A448">
        <v>446</v>
      </c>
      <c r="B448" s="3">
        <v>45358</v>
      </c>
      <c r="C448">
        <v>82.84</v>
      </c>
      <c r="D448">
        <v>83.47</v>
      </c>
      <c r="E448">
        <v>82.07</v>
      </c>
      <c r="F448">
        <v>82.96</v>
      </c>
      <c r="G448" s="5">
        <f t="shared" si="70"/>
        <v>0</v>
      </c>
      <c r="H448" s="5">
        <f t="shared" ca="1" si="71"/>
        <v>-31.228750686643124</v>
      </c>
      <c r="I448">
        <f t="shared" ca="1" si="66"/>
        <v>86.728136611744134</v>
      </c>
      <c r="J448">
        <f t="shared" ca="1" si="72"/>
        <v>-4.2733257967983478E-4</v>
      </c>
      <c r="K448" s="12">
        <f t="shared" si="67"/>
        <v>104.15388558758519</v>
      </c>
      <c r="L448" s="12">
        <f t="shared" si="68"/>
        <v>0.19390230505097156</v>
      </c>
      <c r="M448" s="12">
        <f t="shared" si="73"/>
        <v>64.570355736507238</v>
      </c>
      <c r="N448" s="12">
        <f t="shared" si="74"/>
        <v>143.73741543866313</v>
      </c>
      <c r="O448" s="14">
        <f t="shared" si="75"/>
        <v>5.1492179144899113E-2</v>
      </c>
      <c r="P448" s="15">
        <f t="shared" si="69"/>
        <v>9.7627705038633873E-3</v>
      </c>
    </row>
    <row r="449" spans="1:16" x14ac:dyDescent="0.3">
      <c r="A449">
        <v>447</v>
      </c>
      <c r="B449" s="3">
        <v>45359</v>
      </c>
      <c r="C449">
        <v>83.34</v>
      </c>
      <c r="D449">
        <v>83.84</v>
      </c>
      <c r="E449">
        <v>81.709999999999994</v>
      </c>
      <c r="F449">
        <v>82.08</v>
      </c>
      <c r="G449" s="5">
        <f t="shared" si="70"/>
        <v>-4.6313956132434933E-3</v>
      </c>
      <c r="H449" s="5">
        <f t="shared" ca="1" si="71"/>
        <v>-30.60976033899129</v>
      </c>
      <c r="I449">
        <f t="shared" ca="1" si="66"/>
        <v>87.214265090665137</v>
      </c>
      <c r="J449">
        <f t="shared" ca="1" si="72"/>
        <v>5.5895484923815459E-3</v>
      </c>
      <c r="K449" s="12">
        <f t="shared" si="67"/>
        <v>104.12599438805512</v>
      </c>
      <c r="L449" s="12">
        <f t="shared" si="68"/>
        <v>0.19412360344646407</v>
      </c>
      <c r="M449" s="12">
        <f t="shared" si="73"/>
        <v>64.507900431666229</v>
      </c>
      <c r="N449" s="12">
        <f t="shared" si="74"/>
        <v>143.74408834444401</v>
      </c>
      <c r="O449" s="14">
        <f t="shared" si="75"/>
        <v>5.3975445749366288E-2</v>
      </c>
      <c r="P449" s="15">
        <f t="shared" si="69"/>
        <v>1.0675397272189953E-2</v>
      </c>
    </row>
    <row r="450" spans="1:16" x14ac:dyDescent="0.3">
      <c r="A450">
        <v>448</v>
      </c>
      <c r="B450" s="3">
        <v>45362</v>
      </c>
      <c r="C450">
        <v>81.91</v>
      </c>
      <c r="D450">
        <v>82.73</v>
      </c>
      <c r="E450">
        <v>81.08</v>
      </c>
      <c r="F450">
        <v>82.21</v>
      </c>
      <c r="G450" s="5">
        <f t="shared" si="70"/>
        <v>6.8730043740745158E-4</v>
      </c>
      <c r="H450" s="5">
        <f t="shared" ca="1" si="71"/>
        <v>-31.666007857562224</v>
      </c>
      <c r="I450">
        <f t="shared" ref="I450:I513" ca="1" si="76">F$2*EXP((Mu-(0.5*(sigma^2))*A450)+sigma*H450)</f>
        <v>86.37669427993616</v>
      </c>
      <c r="J450">
        <f t="shared" ca="1" si="72"/>
        <v>-9.6500107320586746E-3</v>
      </c>
      <c r="K450" s="12">
        <f t="shared" ref="K450:K503" si="77">($I$2*EXP(Mu*A450))</f>
        <v>104.09811065746398</v>
      </c>
      <c r="L450" s="12">
        <f t="shared" ref="L450:L503" si="78">SQRT(EXP((sigma^2)*A450)-1)</f>
        <v>0.19434466813469933</v>
      </c>
      <c r="M450" s="12">
        <f t="shared" si="73"/>
        <v>64.445521629882862</v>
      </c>
      <c r="N450" s="12">
        <f t="shared" si="74"/>
        <v>143.75069968504511</v>
      </c>
      <c r="O450" s="14">
        <f t="shared" si="75"/>
        <v>5.3536414180795459E-2</v>
      </c>
      <c r="P450" s="15">
        <f t="shared" ref="P450:P503" si="79">(LOG10(F450)-LOG10(K450))^2</f>
        <v>1.0509981144928524E-2</v>
      </c>
    </row>
    <row r="451" spans="1:16" x14ac:dyDescent="0.3">
      <c r="A451">
        <v>449</v>
      </c>
      <c r="B451" s="3">
        <v>45363</v>
      </c>
      <c r="C451">
        <v>82.43</v>
      </c>
      <c r="D451">
        <v>83.01</v>
      </c>
      <c r="E451">
        <v>81.69</v>
      </c>
      <c r="F451">
        <v>81.92</v>
      </c>
      <c r="G451" s="5">
        <f t="shared" ref="G451:G503" si="80">IFERROR(LOG10(F451/F450),0)</f>
        <v>-1.5347045733929031E-3</v>
      </c>
      <c r="H451" s="5">
        <f t="shared" ref="H451:H503" ca="1" si="81">H450+(SQRT(DeltaT)*_xlfn.NORM.S.INV(RAND()))</f>
        <v>-31.573552619804548</v>
      </c>
      <c r="I451">
        <f t="shared" ca="1" si="76"/>
        <v>86.445795934443311</v>
      </c>
      <c r="J451">
        <f t="shared" ref="J451:J503" ca="1" si="82">IFERROR(LN(I451/I450),0)</f>
        <v>7.9968363034155579E-4</v>
      </c>
      <c r="K451" s="12">
        <f t="shared" si="77"/>
        <v>104.07023439381169</v>
      </c>
      <c r="L451" s="12">
        <f t="shared" si="78"/>
        <v>0.19456549991380059</v>
      </c>
      <c r="M451" s="12">
        <f t="shared" ref="M451:M503" si="83">(1-1.96*L451)*K451</f>
        <v>64.383219119094079</v>
      </c>
      <c r="N451" s="12">
        <f t="shared" ref="N451:N503" si="84">(1+1.96*L451)*K451</f>
        <v>143.75724966852928</v>
      </c>
      <c r="O451" s="14">
        <f t="shared" ref="O451:O503" si="85">ABS((LOG10(F451)-LOG10(K451))/LOG10(F451))</f>
        <v>5.4320651900324236E-2</v>
      </c>
      <c r="P451" s="15">
        <f t="shared" si="79"/>
        <v>1.0802814549086215E-2</v>
      </c>
    </row>
    <row r="452" spans="1:16" x14ac:dyDescent="0.3">
      <c r="A452">
        <v>450</v>
      </c>
      <c r="B452" s="3">
        <v>45364</v>
      </c>
      <c r="C452">
        <v>82.39</v>
      </c>
      <c r="D452">
        <v>84.22</v>
      </c>
      <c r="E452">
        <v>81.97</v>
      </c>
      <c r="F452">
        <v>84.03</v>
      </c>
      <c r="G452" s="5">
        <f t="shared" si="80"/>
        <v>1.1044419911475105E-2</v>
      </c>
      <c r="H452" s="5">
        <f t="shared" ca="1" si="81"/>
        <v>-33.062221363989387</v>
      </c>
      <c r="I452">
        <f t="shared" ca="1" si="76"/>
        <v>85.27947931962963</v>
      </c>
      <c r="J452">
        <f t="shared" ca="1" si="82"/>
        <v>-1.3583726063187676E-2</v>
      </c>
      <c r="K452" s="12">
        <f t="shared" si="77"/>
        <v>104.04236559509867</v>
      </c>
      <c r="L452" s="12">
        <f t="shared" si="78"/>
        <v>0.19478609957743495</v>
      </c>
      <c r="M452" s="12">
        <f t="shared" si="83"/>
        <v>64.320992688344262</v>
      </c>
      <c r="N452" s="12">
        <f t="shared" si="84"/>
        <v>143.76373850185308</v>
      </c>
      <c r="O452" s="14">
        <f t="shared" si="85"/>
        <v>4.8209414847588478E-2</v>
      </c>
      <c r="P452" s="15">
        <f t="shared" si="79"/>
        <v>8.6073591928657028E-3</v>
      </c>
    </row>
    <row r="453" spans="1:16" x14ac:dyDescent="0.3">
      <c r="A453">
        <v>451</v>
      </c>
      <c r="B453" s="3">
        <v>45365</v>
      </c>
      <c r="C453">
        <v>83.98</v>
      </c>
      <c r="D453">
        <v>85.68</v>
      </c>
      <c r="E453">
        <v>83.94</v>
      </c>
      <c r="F453">
        <v>85.42</v>
      </c>
      <c r="G453" s="5">
        <f t="shared" si="80"/>
        <v>7.125203547574655E-3</v>
      </c>
      <c r="H453" s="5">
        <f t="shared" ca="1" si="81"/>
        <v>-34.205095814058197</v>
      </c>
      <c r="I453">
        <f t="shared" ca="1" si="76"/>
        <v>84.393957298578357</v>
      </c>
      <c r="J453">
        <f t="shared" ca="1" si="82"/>
        <v>-1.0438051809455085E-2</v>
      </c>
      <c r="K453" s="12">
        <f t="shared" si="77"/>
        <v>104.01450425932592</v>
      </c>
      <c r="L453" s="12">
        <f t="shared" si="78"/>
        <v>0.19500646791484738</v>
      </c>
      <c r="M453" s="12">
        <f t="shared" si="83"/>
        <v>64.258842127776916</v>
      </c>
      <c r="N453" s="12">
        <f t="shared" si="84"/>
        <v>143.77016639087492</v>
      </c>
      <c r="O453" s="14">
        <f t="shared" si="85"/>
        <v>4.428252584161628E-2</v>
      </c>
      <c r="P453" s="15">
        <f t="shared" si="79"/>
        <v>7.3161227109700836E-3</v>
      </c>
    </row>
    <row r="454" spans="1:16" x14ac:dyDescent="0.3">
      <c r="A454">
        <v>452</v>
      </c>
      <c r="B454" s="3">
        <v>45366</v>
      </c>
      <c r="C454">
        <v>85.13</v>
      </c>
      <c r="D454">
        <v>85.55</v>
      </c>
      <c r="E454">
        <v>84.63</v>
      </c>
      <c r="F454">
        <v>85.34</v>
      </c>
      <c r="G454" s="5">
        <f t="shared" si="80"/>
        <v>-4.0692856751197158E-4</v>
      </c>
      <c r="H454" s="5">
        <f t="shared" ca="1" si="81"/>
        <v>-33.573582825579415</v>
      </c>
      <c r="I454">
        <f t="shared" ca="1" si="76"/>
        <v>84.876670656234054</v>
      </c>
      <c r="J454">
        <f t="shared" ca="1" si="82"/>
        <v>5.7034663606298558E-3</v>
      </c>
      <c r="K454" s="12">
        <f t="shared" si="77"/>
        <v>103.98665038449492</v>
      </c>
      <c r="L454" s="12">
        <f t="shared" si="78"/>
        <v>0.19522660571089576</v>
      </c>
      <c r="M454" s="12">
        <f t="shared" si="83"/>
        <v>64.196767228626229</v>
      </c>
      <c r="N454" s="12">
        <f t="shared" si="84"/>
        <v>143.77653354036363</v>
      </c>
      <c r="O454" s="14">
        <f t="shared" si="85"/>
        <v>4.4442344283227554E-2</v>
      </c>
      <c r="P454" s="15">
        <f t="shared" si="79"/>
        <v>7.3659221154048727E-3</v>
      </c>
    </row>
    <row r="455" spans="1:16" x14ac:dyDescent="0.3">
      <c r="A455">
        <v>453</v>
      </c>
      <c r="B455" s="3">
        <v>45369</v>
      </c>
      <c r="C455">
        <v>85.38</v>
      </c>
      <c r="D455">
        <v>87.18</v>
      </c>
      <c r="E455">
        <v>85.26</v>
      </c>
      <c r="F455">
        <v>86.89</v>
      </c>
      <c r="G455" s="5">
        <f t="shared" si="80"/>
        <v>7.8171586995969839E-3</v>
      </c>
      <c r="H455" s="5">
        <f t="shared" ca="1" si="81"/>
        <v>-32.236491659318041</v>
      </c>
      <c r="I455">
        <f t="shared" ca="1" si="76"/>
        <v>85.911813601595867</v>
      </c>
      <c r="J455">
        <f t="shared" ca="1" si="82"/>
        <v>1.2122077499139489E-2</v>
      </c>
      <c r="K455" s="12">
        <f t="shared" si="77"/>
        <v>103.95880396860774</v>
      </c>
      <c r="L455" s="12">
        <f t="shared" si="78"/>
        <v>0.19544651374608304</v>
      </c>
      <c r="M455" s="12">
        <f t="shared" si="83"/>
        <v>64.134767783209128</v>
      </c>
      <c r="N455" s="12">
        <f t="shared" si="84"/>
        <v>143.78284015400635</v>
      </c>
      <c r="O455" s="14">
        <f t="shared" si="85"/>
        <v>4.0171578355456206E-2</v>
      </c>
      <c r="P455" s="15">
        <f t="shared" si="79"/>
        <v>6.0670822107399469E-3</v>
      </c>
    </row>
    <row r="456" spans="1:16" x14ac:dyDescent="0.3">
      <c r="A456">
        <v>454</v>
      </c>
      <c r="B456" s="3">
        <v>45370</v>
      </c>
      <c r="C456">
        <v>86.85</v>
      </c>
      <c r="D456">
        <v>87.71</v>
      </c>
      <c r="E456">
        <v>86.49</v>
      </c>
      <c r="F456">
        <v>87.38</v>
      </c>
      <c r="G456" s="5">
        <f t="shared" si="80"/>
        <v>2.4422431506593975E-3</v>
      </c>
      <c r="H456" s="5">
        <f t="shared" ca="1" si="81"/>
        <v>-31.483956072986899</v>
      </c>
      <c r="I456">
        <f t="shared" ca="1" si="76"/>
        <v>86.498385592207484</v>
      </c>
      <c r="J456">
        <f t="shared" ca="1" si="82"/>
        <v>6.8044031796055324E-3</v>
      </c>
      <c r="K456" s="12">
        <f t="shared" si="77"/>
        <v>103.93096500966696</v>
      </c>
      <c r="L456" s="12">
        <f t="shared" si="78"/>
        <v>0.19566619279659395</v>
      </c>
      <c r="M456" s="12">
        <f t="shared" si="83"/>
        <v>64.072843584916555</v>
      </c>
      <c r="N456" s="12">
        <f t="shared" si="84"/>
        <v>143.78908643441736</v>
      </c>
      <c r="O456" s="14">
        <f t="shared" si="85"/>
        <v>3.8803158646184437E-2</v>
      </c>
      <c r="P456" s="15">
        <f t="shared" si="79"/>
        <v>5.6750487453611671E-3</v>
      </c>
    </row>
    <row r="457" spans="1:16" x14ac:dyDescent="0.3">
      <c r="A457">
        <v>455</v>
      </c>
      <c r="B457" s="3">
        <v>45371</v>
      </c>
      <c r="C457">
        <v>87.22</v>
      </c>
      <c r="D457">
        <v>87.35</v>
      </c>
      <c r="E457">
        <v>85.58</v>
      </c>
      <c r="F457">
        <v>85.95</v>
      </c>
      <c r="G457" s="5">
        <f t="shared" si="80"/>
        <v>-7.1661593504784181E-3</v>
      </c>
      <c r="H457" s="5">
        <f t="shared" ca="1" si="81"/>
        <v>-31.64262915963646</v>
      </c>
      <c r="I457">
        <f t="shared" ca="1" si="76"/>
        <v>86.370046467071219</v>
      </c>
      <c r="J457">
        <f t="shared" ca="1" si="82"/>
        <v>-1.4848187975838516E-3</v>
      </c>
      <c r="K457" s="12">
        <f t="shared" si="77"/>
        <v>103.90313350567568</v>
      </c>
      <c r="L457" s="12">
        <f t="shared" si="78"/>
        <v>0.19588564363432528</v>
      </c>
      <c r="M457" s="12">
        <f t="shared" si="83"/>
        <v>64.010994428205962</v>
      </c>
      <c r="N457" s="12">
        <f t="shared" si="84"/>
        <v>143.79527258314539</v>
      </c>
      <c r="O457" s="14">
        <f t="shared" si="85"/>
        <v>4.259167098239619E-2</v>
      </c>
      <c r="P457" s="15">
        <f t="shared" si="79"/>
        <v>6.7869198312336381E-3</v>
      </c>
    </row>
    <row r="458" spans="1:16" x14ac:dyDescent="0.3">
      <c r="A458">
        <v>456</v>
      </c>
      <c r="B458" s="3">
        <v>45372</v>
      </c>
      <c r="C458">
        <v>86.16</v>
      </c>
      <c r="D458">
        <v>86.64</v>
      </c>
      <c r="E458">
        <v>85.05</v>
      </c>
      <c r="F458">
        <v>85.78</v>
      </c>
      <c r="G458" s="5">
        <f t="shared" si="80"/>
        <v>-8.5983912001683723E-4</v>
      </c>
      <c r="H458" s="5">
        <f t="shared" ca="1" si="81"/>
        <v>-30.402371029508011</v>
      </c>
      <c r="I458">
        <f t="shared" ca="1" si="76"/>
        <v>87.346426295059928</v>
      </c>
      <c r="J458">
        <f t="shared" ca="1" si="82"/>
        <v>1.1241191973099389E-2</v>
      </c>
      <c r="K458" s="12">
        <f t="shared" si="77"/>
        <v>103.87530945463757</v>
      </c>
      <c r="L458" s="12">
        <f t="shared" si="78"/>
        <v>0.19610486702692076</v>
      </c>
      <c r="M458" s="12">
        <f t="shared" si="83"/>
        <v>63.949220108592954</v>
      </c>
      <c r="N458" s="12">
        <f t="shared" si="84"/>
        <v>143.80139880068219</v>
      </c>
      <c r="O458" s="14">
        <f t="shared" si="85"/>
        <v>4.2995184042328209E-2</v>
      </c>
      <c r="P458" s="15">
        <f t="shared" si="79"/>
        <v>6.9099798724522512E-3</v>
      </c>
    </row>
    <row r="459" spans="1:16" x14ac:dyDescent="0.3">
      <c r="A459">
        <v>457</v>
      </c>
      <c r="B459" s="3">
        <v>45373</v>
      </c>
      <c r="C459">
        <v>85.55</v>
      </c>
      <c r="D459">
        <v>86.15</v>
      </c>
      <c r="E459">
        <v>85.11</v>
      </c>
      <c r="F459">
        <v>85.43</v>
      </c>
      <c r="G459" s="5">
        <f t="shared" si="80"/>
        <v>-1.7756355400923617E-3</v>
      </c>
      <c r="H459" s="5">
        <f t="shared" ca="1" si="81"/>
        <v>-31.469832967766397</v>
      </c>
      <c r="I459">
        <f t="shared" ca="1" si="76"/>
        <v>86.498761463171078</v>
      </c>
      <c r="J459">
        <f t="shared" ca="1" si="82"/>
        <v>-9.7520277747966157E-3</v>
      </c>
      <c r="K459" s="12">
        <f t="shared" si="77"/>
        <v>103.8474928545568</v>
      </c>
      <c r="L459" s="12">
        <f t="shared" si="78"/>
        <v>0.19632386373780417</v>
      </c>
      <c r="M459" s="12">
        <f t="shared" si="83"/>
        <v>63.887520422643234</v>
      </c>
      <c r="N459" s="12">
        <f t="shared" si="84"/>
        <v>143.80746528647038</v>
      </c>
      <c r="O459" s="14">
        <f t="shared" si="85"/>
        <v>4.3893742428686634E-2</v>
      </c>
      <c r="P459" s="15">
        <f t="shared" si="79"/>
        <v>7.1885996036317196E-3</v>
      </c>
    </row>
    <row r="460" spans="1:16" x14ac:dyDescent="0.3">
      <c r="A460">
        <v>458</v>
      </c>
      <c r="B460" s="3">
        <v>45376</v>
      </c>
      <c r="C460">
        <v>85.6</v>
      </c>
      <c r="D460">
        <v>87.18</v>
      </c>
      <c r="E460">
        <v>85.4</v>
      </c>
      <c r="F460">
        <v>86.75</v>
      </c>
      <c r="G460" s="5">
        <f t="shared" si="80"/>
        <v>6.6590770999493129E-3</v>
      </c>
      <c r="H460" s="5">
        <f t="shared" ca="1" si="81"/>
        <v>-33.634169555489215</v>
      </c>
      <c r="I460">
        <f t="shared" ca="1" si="76"/>
        <v>84.808845811923604</v>
      </c>
      <c r="J460">
        <f t="shared" ca="1" si="82"/>
        <v>-1.9730244313079091E-2</v>
      </c>
      <c r="K460" s="12">
        <f t="shared" si="77"/>
        <v>103.81968370343812</v>
      </c>
      <c r="L460" s="12">
        <f t="shared" si="78"/>
        <v>0.19654263452620901</v>
      </c>
      <c r="M460" s="12">
        <f t="shared" si="83"/>
        <v>63.825895167965264</v>
      </c>
      <c r="N460" s="12">
        <f t="shared" si="84"/>
        <v>143.81347223891098</v>
      </c>
      <c r="O460" s="14">
        <f t="shared" si="85"/>
        <v>4.0247353955667781E-2</v>
      </c>
      <c r="P460" s="15">
        <f t="shared" si="79"/>
        <v>6.0855941065413354E-3</v>
      </c>
    </row>
    <row r="461" spans="1:16" x14ac:dyDescent="0.3">
      <c r="A461">
        <v>459</v>
      </c>
      <c r="B461" s="3">
        <v>45377</v>
      </c>
      <c r="C461">
        <v>86.77</v>
      </c>
      <c r="D461">
        <v>87.05</v>
      </c>
      <c r="E461">
        <v>85.81</v>
      </c>
      <c r="F461">
        <v>86.25</v>
      </c>
      <c r="G461" s="5">
        <f t="shared" si="80"/>
        <v>-2.5103797175995931E-3</v>
      </c>
      <c r="H461" s="5">
        <f t="shared" ca="1" si="81"/>
        <v>-32.973228890643313</v>
      </c>
      <c r="I461">
        <f t="shared" ca="1" si="76"/>
        <v>85.316768660704199</v>
      </c>
      <c r="J461">
        <f t="shared" ca="1" si="82"/>
        <v>5.9711685334837335E-3</v>
      </c>
      <c r="K461" s="12">
        <f t="shared" si="77"/>
        <v>103.79188199928676</v>
      </c>
      <c r="L461" s="12">
        <f t="shared" si="78"/>
        <v>0.1967611801472133</v>
      </c>
      <c r="M461" s="12">
        <f t="shared" si="83"/>
        <v>63.764344143202024</v>
      </c>
      <c r="N461" s="12">
        <f t="shared" si="84"/>
        <v>143.81941985537151</v>
      </c>
      <c r="O461" s="14">
        <f t="shared" si="85"/>
        <v>4.1536306318962005E-2</v>
      </c>
      <c r="P461" s="15">
        <f t="shared" si="79"/>
        <v>6.4648487396807303E-3</v>
      </c>
    </row>
    <row r="462" spans="1:16" x14ac:dyDescent="0.3">
      <c r="A462">
        <v>460</v>
      </c>
      <c r="B462" s="3">
        <v>45378</v>
      </c>
      <c r="C462">
        <v>85.97</v>
      </c>
      <c r="D462">
        <v>86.36</v>
      </c>
      <c r="E462">
        <v>85.18</v>
      </c>
      <c r="F462">
        <v>86.09</v>
      </c>
      <c r="G462" s="5">
        <f t="shared" si="80"/>
        <v>-8.0639592745361261E-4</v>
      </c>
      <c r="H462" s="5">
        <f t="shared" ca="1" si="81"/>
        <v>-33.370839771597836</v>
      </c>
      <c r="I462">
        <f t="shared" ca="1" si="76"/>
        <v>85.005213946672711</v>
      </c>
      <c r="J462">
        <f t="shared" ca="1" si="82"/>
        <v>-3.6584245527341509E-3</v>
      </c>
      <c r="K462" s="12">
        <f t="shared" si="77"/>
        <v>103.76408774010851</v>
      </c>
      <c r="L462" s="12">
        <f t="shared" si="78"/>
        <v>0.19697950135177067</v>
      </c>
      <c r="M462" s="12">
        <f t="shared" si="83"/>
        <v>63.702867148023323</v>
      </c>
      <c r="N462" s="12">
        <f t="shared" si="84"/>
        <v>143.82530833219369</v>
      </c>
      <c r="O462" s="14">
        <f t="shared" si="85"/>
        <v>4.1910256568842022E-2</v>
      </c>
      <c r="P462" s="15">
        <f t="shared" si="79"/>
        <v>6.576295942828228E-3</v>
      </c>
    </row>
    <row r="463" spans="1:16" x14ac:dyDescent="0.3">
      <c r="A463">
        <v>461</v>
      </c>
      <c r="B463" s="3">
        <v>45379</v>
      </c>
      <c r="C463">
        <v>86.53</v>
      </c>
      <c r="D463">
        <v>87.45</v>
      </c>
      <c r="E463">
        <v>86.32</v>
      </c>
      <c r="F463">
        <v>87.48</v>
      </c>
      <c r="G463" s="5">
        <f t="shared" si="80"/>
        <v>6.9560665477413674E-3</v>
      </c>
      <c r="H463" s="5">
        <f t="shared" ca="1" si="81"/>
        <v>-33.055746645529226</v>
      </c>
      <c r="I463">
        <f t="shared" ca="1" si="76"/>
        <v>85.245694038338485</v>
      </c>
      <c r="J463">
        <f t="shared" ca="1" si="82"/>
        <v>2.82500991559869E-3</v>
      </c>
      <c r="K463" s="12">
        <f t="shared" si="77"/>
        <v>103.73630092390968</v>
      </c>
      <c r="L463" s="12">
        <f t="shared" si="78"/>
        <v>0.19719759888674018</v>
      </c>
      <c r="M463" s="12">
        <f t="shared" si="83"/>
        <v>63.641463983118541</v>
      </c>
      <c r="N463" s="12">
        <f t="shared" si="84"/>
        <v>143.83113786470082</v>
      </c>
      <c r="O463" s="14">
        <f t="shared" si="85"/>
        <v>3.8118156875081223E-2</v>
      </c>
      <c r="P463" s="15">
        <f t="shared" si="79"/>
        <v>5.4792540114233712E-3</v>
      </c>
    </row>
    <row r="464" spans="1:16" x14ac:dyDescent="0.3">
      <c r="A464">
        <v>462</v>
      </c>
      <c r="B464" s="3">
        <v>45383</v>
      </c>
      <c r="C464">
        <v>86.93</v>
      </c>
      <c r="D464">
        <v>87.99</v>
      </c>
      <c r="E464">
        <v>86.4</v>
      </c>
      <c r="F464">
        <v>87.42</v>
      </c>
      <c r="G464" s="5">
        <f t="shared" si="80"/>
        <v>-2.9797221196566548E-4</v>
      </c>
      <c r="H464" s="5">
        <f t="shared" ca="1" si="81"/>
        <v>-33.159291358106003</v>
      </c>
      <c r="I464">
        <f t="shared" ca="1" si="76"/>
        <v>85.161911561042274</v>
      </c>
      <c r="J464">
        <f t="shared" ca="1" si="82"/>
        <v>-9.8331859957074825E-4</v>
      </c>
      <c r="K464" s="12">
        <f t="shared" si="77"/>
        <v>103.70852154869716</v>
      </c>
      <c r="L464" s="12">
        <f t="shared" si="78"/>
        <v>0.19741547349491972</v>
      </c>
      <c r="M464" s="12">
        <f t="shared" si="83"/>
        <v>63.580134450188666</v>
      </c>
      <c r="N464" s="12">
        <f t="shared" si="84"/>
        <v>143.83690864720566</v>
      </c>
      <c r="O464" s="14">
        <f t="shared" si="85"/>
        <v>3.8217567002052047E-2</v>
      </c>
      <c r="P464" s="15">
        <f t="shared" si="79"/>
        <v>5.5061803262613567E-3</v>
      </c>
    </row>
    <row r="465" spans="1:16" x14ac:dyDescent="0.3">
      <c r="A465">
        <v>463</v>
      </c>
      <c r="B465" s="3">
        <v>45384</v>
      </c>
      <c r="C465">
        <v>87.8</v>
      </c>
      <c r="D465">
        <v>89.28</v>
      </c>
      <c r="E465">
        <v>87.65</v>
      </c>
      <c r="F465">
        <v>88.92</v>
      </c>
      <c r="G465" s="5">
        <f t="shared" si="80"/>
        <v>7.3886518733191882E-3</v>
      </c>
      <c r="H465" s="5">
        <f t="shared" ca="1" si="81"/>
        <v>-34.59905111649325</v>
      </c>
      <c r="I465">
        <f t="shared" ca="1" si="76"/>
        <v>84.050304536809165</v>
      </c>
      <c r="J465">
        <f t="shared" ca="1" si="82"/>
        <v>-1.3138803344630802E-2</v>
      </c>
      <c r="K465" s="12">
        <f t="shared" si="77"/>
        <v>103.68074961247831</v>
      </c>
      <c r="L465" s="12">
        <f t="shared" si="78"/>
        <v>0.19763312591507615</v>
      </c>
      <c r="M465" s="12">
        <f t="shared" si="83"/>
        <v>63.518878351938795</v>
      </c>
      <c r="N465" s="12">
        <f t="shared" si="84"/>
        <v>143.84262087301781</v>
      </c>
      <c r="O465" s="14">
        <f t="shared" si="85"/>
        <v>3.4222007771715218E-2</v>
      </c>
      <c r="P465" s="15">
        <f t="shared" si="79"/>
        <v>4.4487131750917813E-3</v>
      </c>
    </row>
    <row r="466" spans="1:16" x14ac:dyDescent="0.3">
      <c r="A466">
        <v>464</v>
      </c>
      <c r="B466" s="3">
        <v>45385</v>
      </c>
      <c r="C466">
        <v>89.21</v>
      </c>
      <c r="D466">
        <v>89.98</v>
      </c>
      <c r="E466">
        <v>88.68</v>
      </c>
      <c r="F466">
        <v>89.35</v>
      </c>
      <c r="G466" s="5">
        <f t="shared" si="80"/>
        <v>2.0951028147100535E-3</v>
      </c>
      <c r="H466" s="5">
        <f t="shared" ca="1" si="81"/>
        <v>-35.101614891674188</v>
      </c>
      <c r="I466">
        <f t="shared" ca="1" si="76"/>
        <v>83.663458665716306</v>
      </c>
      <c r="J466">
        <f t="shared" ca="1" si="82"/>
        <v>-4.6131760418143567E-3</v>
      </c>
      <c r="K466" s="12">
        <f t="shared" si="77"/>
        <v>103.65298511326107</v>
      </c>
      <c r="L466" s="12">
        <f t="shared" si="78"/>
        <v>0.19785055688197301</v>
      </c>
      <c r="M466" s="12">
        <f t="shared" si="83"/>
        <v>63.457695492071451</v>
      </c>
      <c r="N466" s="12">
        <f t="shared" si="84"/>
        <v>143.84827473445068</v>
      </c>
      <c r="O466" s="14">
        <f t="shared" si="85"/>
        <v>3.3051835870703143E-2</v>
      </c>
      <c r="P466" s="15">
        <f t="shared" si="79"/>
        <v>4.1586063232454231E-3</v>
      </c>
    </row>
    <row r="467" spans="1:16" x14ac:dyDescent="0.3">
      <c r="A467">
        <v>465</v>
      </c>
      <c r="B467" s="3">
        <v>45386</v>
      </c>
      <c r="C467">
        <v>89.5</v>
      </c>
      <c r="D467">
        <v>91.3</v>
      </c>
      <c r="E467">
        <v>88.73</v>
      </c>
      <c r="F467">
        <v>90.65</v>
      </c>
      <c r="G467" s="5">
        <f t="shared" si="80"/>
        <v>6.2732515898644928E-3</v>
      </c>
      <c r="H467" s="5">
        <f t="shared" ca="1" si="81"/>
        <v>-34.770856282392373</v>
      </c>
      <c r="I467">
        <f t="shared" ca="1" si="76"/>
        <v>83.912100232948006</v>
      </c>
      <c r="J467">
        <f t="shared" ca="1" si="82"/>
        <v>2.9675180716168476E-3</v>
      </c>
      <c r="K467" s="12">
        <f t="shared" si="77"/>
        <v>103.62522804905389</v>
      </c>
      <c r="L467" s="12">
        <f t="shared" si="78"/>
        <v>0.19806776712640639</v>
      </c>
      <c r="M467" s="12">
        <f t="shared" si="83"/>
        <v>63.396585675278004</v>
      </c>
      <c r="N467" s="12">
        <f t="shared" si="84"/>
        <v>143.85387042282977</v>
      </c>
      <c r="O467" s="14">
        <f t="shared" si="85"/>
        <v>2.9681539991467928E-2</v>
      </c>
      <c r="P467" s="15">
        <f t="shared" si="79"/>
        <v>3.3753416860496004E-3</v>
      </c>
    </row>
    <row r="468" spans="1:16" x14ac:dyDescent="0.3">
      <c r="A468">
        <v>466</v>
      </c>
      <c r="B468" s="3">
        <v>45387</v>
      </c>
      <c r="C468">
        <v>91.01</v>
      </c>
      <c r="D468">
        <v>91.91</v>
      </c>
      <c r="E468">
        <v>90.57</v>
      </c>
      <c r="F468">
        <v>91.17</v>
      </c>
      <c r="G468" s="5">
        <f t="shared" si="80"/>
        <v>2.4841463680778048E-3</v>
      </c>
      <c r="H468" s="5">
        <f t="shared" ca="1" si="81"/>
        <v>-36.531764436352795</v>
      </c>
      <c r="I468">
        <f t="shared" ca="1" si="76"/>
        <v>82.575212948933753</v>
      </c>
      <c r="J468">
        <f t="shared" ca="1" si="82"/>
        <v>-1.6060275031040429E-2</v>
      </c>
      <c r="K468" s="12">
        <f t="shared" si="77"/>
        <v>103.59747841786579</v>
      </c>
      <c r="L468" s="12">
        <f t="shared" si="78"/>
        <v>0.19828475737522874</v>
      </c>
      <c r="M468" s="12">
        <f t="shared" si="83"/>
        <v>63.33554870723264</v>
      </c>
      <c r="N468" s="12">
        <f t="shared" si="84"/>
        <v>143.85940812849896</v>
      </c>
      <c r="O468" s="14">
        <f t="shared" si="85"/>
        <v>2.8317052108383846E-2</v>
      </c>
      <c r="P468" s="15">
        <f t="shared" si="79"/>
        <v>3.0799425297676937E-3</v>
      </c>
    </row>
    <row r="469" spans="1:16" x14ac:dyDescent="0.3">
      <c r="A469">
        <v>467</v>
      </c>
      <c r="B469" s="3">
        <v>45390</v>
      </c>
      <c r="C469">
        <v>90.31</v>
      </c>
      <c r="D469">
        <v>91.1</v>
      </c>
      <c r="E469">
        <v>88.8</v>
      </c>
      <c r="F469">
        <v>90.38</v>
      </c>
      <c r="G469" s="5">
        <f t="shared" si="80"/>
        <v>-3.7796178044223533E-3</v>
      </c>
      <c r="H469" s="5">
        <f t="shared" ca="1" si="81"/>
        <v>-35.872343315312371</v>
      </c>
      <c r="I469">
        <f t="shared" ca="1" si="76"/>
        <v>83.068610216721282</v>
      </c>
      <c r="J469">
        <f t="shared" ca="1" si="82"/>
        <v>5.9573453157277974E-3</v>
      </c>
      <c r="K469" s="12">
        <f t="shared" si="77"/>
        <v>103.56973621770624</v>
      </c>
      <c r="L469" s="12">
        <f t="shared" si="78"/>
        <v>0.19850152835138393</v>
      </c>
      <c r="M469" s="12">
        <f t="shared" si="83"/>
        <v>63.274584394584075</v>
      </c>
      <c r="N469" s="12">
        <f t="shared" si="84"/>
        <v>143.86488804082839</v>
      </c>
      <c r="O469" s="14">
        <f t="shared" si="85"/>
        <v>3.0244552835384433E-2</v>
      </c>
      <c r="P469" s="15">
        <f t="shared" si="79"/>
        <v>3.4999686821289883E-3</v>
      </c>
    </row>
    <row r="470" spans="1:16" x14ac:dyDescent="0.3">
      <c r="A470">
        <v>468</v>
      </c>
      <c r="B470" s="3">
        <v>45391</v>
      </c>
      <c r="C470">
        <v>90.55</v>
      </c>
      <c r="D470">
        <v>90.94</v>
      </c>
      <c r="E470">
        <v>89.27</v>
      </c>
      <c r="F470">
        <v>89.42</v>
      </c>
      <c r="G470" s="5">
        <f t="shared" si="80"/>
        <v>-4.6376714631699446E-3</v>
      </c>
      <c r="H470" s="5">
        <f t="shared" ca="1" si="81"/>
        <v>-37.284720945561034</v>
      </c>
      <c r="I470">
        <f t="shared" ca="1" si="76"/>
        <v>82.004751115383499</v>
      </c>
      <c r="J470">
        <f t="shared" ca="1" si="82"/>
        <v>-1.2889709426762175E-2</v>
      </c>
      <c r="K470" s="12">
        <f t="shared" si="77"/>
        <v>103.54200144658533</v>
      </c>
      <c r="L470" s="12">
        <f t="shared" si="78"/>
        <v>0.19871808077393116</v>
      </c>
      <c r="M470" s="12">
        <f t="shared" si="83"/>
        <v>63.213692544949524</v>
      </c>
      <c r="N470" s="12">
        <f t="shared" si="84"/>
        <v>143.87031034822112</v>
      </c>
      <c r="O470" s="14">
        <f t="shared" si="85"/>
        <v>3.2633370282359492E-2</v>
      </c>
      <c r="P470" s="15">
        <f t="shared" si="79"/>
        <v>4.0553831167917474E-3</v>
      </c>
    </row>
    <row r="471" spans="1:16" x14ac:dyDescent="0.3">
      <c r="A471">
        <v>469</v>
      </c>
      <c r="B471" s="3">
        <v>45392</v>
      </c>
      <c r="C471">
        <v>89.51</v>
      </c>
      <c r="D471">
        <v>90.66</v>
      </c>
      <c r="E471">
        <v>88.83</v>
      </c>
      <c r="F471">
        <v>90.48</v>
      </c>
      <c r="G471" s="5">
        <f t="shared" si="80"/>
        <v>5.1179263853858657E-3</v>
      </c>
      <c r="H471" s="5">
        <f t="shared" ca="1" si="81"/>
        <v>-35.905410873998896</v>
      </c>
      <c r="I471">
        <f t="shared" ca="1" si="76"/>
        <v>83.036753820023748</v>
      </c>
      <c r="J471">
        <f t="shared" ca="1" si="82"/>
        <v>1.2506140873478679E-2</v>
      </c>
      <c r="K471" s="12">
        <f t="shared" si="77"/>
        <v>103.51427410251365</v>
      </c>
      <c r="L471" s="12">
        <f t="shared" si="78"/>
        <v>0.19893441535807951</v>
      </c>
      <c r="M471" s="12">
        <f t="shared" si="83"/>
        <v>63.15287296690655</v>
      </c>
      <c r="N471" s="12">
        <f t="shared" si="84"/>
        <v>143.87567523812075</v>
      </c>
      <c r="O471" s="14">
        <f t="shared" si="85"/>
        <v>2.9872771777812716E-2</v>
      </c>
      <c r="P471" s="15">
        <f t="shared" si="79"/>
        <v>3.4161276794294625E-3</v>
      </c>
    </row>
    <row r="472" spans="1:16" x14ac:dyDescent="0.3">
      <c r="A472">
        <v>470</v>
      </c>
      <c r="B472" s="3">
        <v>45393</v>
      </c>
      <c r="C472">
        <v>90.54</v>
      </c>
      <c r="D472">
        <v>90.92</v>
      </c>
      <c r="E472">
        <v>89.37</v>
      </c>
      <c r="F472">
        <v>89.74</v>
      </c>
      <c r="G472" s="5">
        <f t="shared" si="80"/>
        <v>-3.5665267203434841E-3</v>
      </c>
      <c r="H472" s="5">
        <f t="shared" ca="1" si="81"/>
        <v>-35.851299802498481</v>
      </c>
      <c r="I472">
        <f t="shared" ca="1" si="76"/>
        <v>83.074200923940936</v>
      </c>
      <c r="J472">
        <f t="shared" ca="1" si="82"/>
        <v>4.5086857286767527E-4</v>
      </c>
      <c r="K472" s="12">
        <f t="shared" si="77"/>
        <v>103.48655418350231</v>
      </c>
      <c r="L472" s="12">
        <f t="shared" si="78"/>
        <v>0.19915053281521289</v>
      </c>
      <c r="M472" s="12">
        <f t="shared" si="83"/>
        <v>63.092125469986733</v>
      </c>
      <c r="N472" s="12">
        <f t="shared" si="84"/>
        <v>143.88098289701787</v>
      </c>
      <c r="O472" s="14">
        <f t="shared" si="85"/>
        <v>3.1693959463360691E-2</v>
      </c>
      <c r="P472" s="15">
        <f t="shared" si="79"/>
        <v>3.8313452190130745E-3</v>
      </c>
    </row>
    <row r="473" spans="1:16" x14ac:dyDescent="0.3">
      <c r="A473">
        <v>471</v>
      </c>
      <c r="B473" s="3">
        <v>45394</v>
      </c>
      <c r="C473">
        <v>90.29</v>
      </c>
      <c r="D473">
        <v>92.18</v>
      </c>
      <c r="E473">
        <v>90.01</v>
      </c>
      <c r="F473">
        <v>90.45</v>
      </c>
      <c r="G473" s="5">
        <f t="shared" si="80"/>
        <v>3.4225059987771228E-3</v>
      </c>
      <c r="H473" s="5">
        <f t="shared" ca="1" si="81"/>
        <v>-36.762618728741764</v>
      </c>
      <c r="I473">
        <f t="shared" ca="1" si="76"/>
        <v>82.384935058924157</v>
      </c>
      <c r="J473">
        <f t="shared" ca="1" si="82"/>
        <v>-8.3316022178864541E-3</v>
      </c>
      <c r="K473" s="12">
        <f t="shared" si="77"/>
        <v>103.45884168756298</v>
      </c>
      <c r="L473" s="12">
        <f t="shared" si="78"/>
        <v>0.19936643385291958</v>
      </c>
      <c r="M473" s="12">
        <f t="shared" si="83"/>
        <v>63.031449864668694</v>
      </c>
      <c r="N473" s="12">
        <f t="shared" si="84"/>
        <v>143.88623351045726</v>
      </c>
      <c r="O473" s="14">
        <f t="shared" si="85"/>
        <v>2.982967947298434E-2</v>
      </c>
      <c r="P473" s="15">
        <f t="shared" si="79"/>
        <v>3.4057776193989029E-3</v>
      </c>
    </row>
    <row r="474" spans="1:16" x14ac:dyDescent="0.3">
      <c r="A474">
        <v>472</v>
      </c>
      <c r="B474" s="3">
        <v>45397</v>
      </c>
      <c r="C474">
        <v>90.37</v>
      </c>
      <c r="D474">
        <v>91.15</v>
      </c>
      <c r="E474">
        <v>88.73</v>
      </c>
      <c r="F474">
        <v>90.1</v>
      </c>
      <c r="G474" s="5">
        <f t="shared" si="80"/>
        <v>-1.6837802167696174E-3</v>
      </c>
      <c r="H474" s="5">
        <f t="shared" ca="1" si="81"/>
        <v>-38.572525742016886</v>
      </c>
      <c r="I474">
        <f t="shared" ca="1" si="76"/>
        <v>81.036249391941297</v>
      </c>
      <c r="J474">
        <f t="shared" ca="1" si="82"/>
        <v>-1.6506015324709827E-2</v>
      </c>
      <c r="K474" s="12">
        <f t="shared" si="77"/>
        <v>103.43113661270785</v>
      </c>
      <c r="L474" s="12">
        <f t="shared" si="78"/>
        <v>0.19958211917502114</v>
      </c>
      <c r="M474" s="12">
        <f t="shared" si="83"/>
        <v>62.970845962370952</v>
      </c>
      <c r="N474" s="12">
        <f t="shared" si="84"/>
        <v>143.89142726304473</v>
      </c>
      <c r="O474" s="14">
        <f t="shared" si="85"/>
        <v>3.065726004150637E-2</v>
      </c>
      <c r="P474" s="15">
        <f t="shared" si="79"/>
        <v>3.5911861485296436E-3</v>
      </c>
    </row>
    <row r="475" spans="1:16" x14ac:dyDescent="0.3">
      <c r="A475">
        <v>473</v>
      </c>
      <c r="B475" s="3">
        <v>45398</v>
      </c>
      <c r="C475">
        <v>90.43</v>
      </c>
      <c r="D475">
        <v>90.83</v>
      </c>
      <c r="E475">
        <v>89.41</v>
      </c>
      <c r="F475">
        <v>90.02</v>
      </c>
      <c r="G475" s="5">
        <f t="shared" si="80"/>
        <v>-3.8578237660288986E-4</v>
      </c>
      <c r="H475" s="5">
        <f t="shared" ca="1" si="81"/>
        <v>-38.659710755414849</v>
      </c>
      <c r="I475">
        <f t="shared" ca="1" si="76"/>
        <v>80.968653239545432</v>
      </c>
      <c r="J475">
        <f t="shared" ca="1" si="82"/>
        <v>-8.3449519391840692E-4</v>
      </c>
      <c r="K475" s="12">
        <f t="shared" si="77"/>
        <v>103.40343895694961</v>
      </c>
      <c r="L475" s="12">
        <f t="shared" si="78"/>
        <v>0.19979758948159912</v>
      </c>
      <c r="M475" s="12">
        <f t="shared" si="83"/>
        <v>62.910313575445443</v>
      </c>
      <c r="N475" s="12">
        <f t="shared" si="84"/>
        <v>143.8965643384538</v>
      </c>
      <c r="O475" s="14">
        <f t="shared" si="85"/>
        <v>3.080119352432974E-2</v>
      </c>
      <c r="P475" s="15">
        <f t="shared" si="79"/>
        <v>3.6235552877483227E-3</v>
      </c>
    </row>
    <row r="476" spans="1:16" x14ac:dyDescent="0.3">
      <c r="A476">
        <v>474</v>
      </c>
      <c r="B476" s="3">
        <v>45399</v>
      </c>
      <c r="C476">
        <v>90.05</v>
      </c>
      <c r="D476">
        <v>90.15</v>
      </c>
      <c r="E476">
        <v>87.14</v>
      </c>
      <c r="F476">
        <v>87.29</v>
      </c>
      <c r="G476" s="5">
        <f t="shared" si="80"/>
        <v>-1.3374515109660623E-2</v>
      </c>
      <c r="H476" s="5">
        <f t="shared" ca="1" si="81"/>
        <v>-38.32825260881647</v>
      </c>
      <c r="I476">
        <f t="shared" ca="1" si="76"/>
        <v>81.209802835524897</v>
      </c>
      <c r="J476">
        <f t="shared" ca="1" si="82"/>
        <v>2.9738817293281086E-3</v>
      </c>
      <c r="K476" s="12">
        <f t="shared" si="77"/>
        <v>103.37574871830155</v>
      </c>
      <c r="L476" s="12">
        <f t="shared" si="78"/>
        <v>0.20001284546902451</v>
      </c>
      <c r="M476" s="12">
        <f t="shared" si="83"/>
        <v>62.849852517170376</v>
      </c>
      <c r="N476" s="12">
        <f t="shared" si="84"/>
        <v>143.90164491943273</v>
      </c>
      <c r="O476" s="14">
        <f t="shared" si="85"/>
        <v>3.7844161902453759E-2</v>
      </c>
      <c r="P476" s="15">
        <f t="shared" si="79"/>
        <v>5.395515757155289E-3</v>
      </c>
    </row>
    <row r="477" spans="1:16" x14ac:dyDescent="0.3">
      <c r="A477">
        <v>475</v>
      </c>
      <c r="B477" s="3">
        <v>45400</v>
      </c>
      <c r="C477">
        <v>87.44</v>
      </c>
      <c r="D477">
        <v>87.79</v>
      </c>
      <c r="E477">
        <v>86.1</v>
      </c>
      <c r="F477">
        <v>87.11</v>
      </c>
      <c r="G477" s="5">
        <f t="shared" si="80"/>
        <v>-8.964797534468978E-4</v>
      </c>
      <c r="H477" s="5">
        <f t="shared" ca="1" si="81"/>
        <v>-39.125899505692459</v>
      </c>
      <c r="I477">
        <f t="shared" ca="1" si="76"/>
        <v>80.619328728141269</v>
      </c>
      <c r="J477">
        <f t="shared" ca="1" si="82"/>
        <v>-7.2975331709569762E-3</v>
      </c>
      <c r="K477" s="12">
        <f t="shared" si="77"/>
        <v>103.34806589477742</v>
      </c>
      <c r="L477" s="12">
        <f t="shared" si="78"/>
        <v>0.20022788782998355</v>
      </c>
      <c r="M477" s="12">
        <f t="shared" si="83"/>
        <v>62.789462601743942</v>
      </c>
      <c r="N477" s="12">
        <f t="shared" si="84"/>
        <v>143.90666918781091</v>
      </c>
      <c r="O477" s="14">
        <f t="shared" si="85"/>
        <v>3.8263782083548969E-2</v>
      </c>
      <c r="P477" s="15">
        <f t="shared" si="79"/>
        <v>5.5107371914353016E-3</v>
      </c>
    </row>
    <row r="478" spans="1:16" x14ac:dyDescent="0.3">
      <c r="A478">
        <v>476</v>
      </c>
      <c r="B478" s="3">
        <v>45401</v>
      </c>
      <c r="C478">
        <v>86.96</v>
      </c>
      <c r="D478">
        <v>90.78</v>
      </c>
      <c r="E478">
        <v>86.16</v>
      </c>
      <c r="F478">
        <v>87.29</v>
      </c>
      <c r="G478" s="5">
        <f t="shared" si="80"/>
        <v>8.9647975344692176E-4</v>
      </c>
      <c r="H478" s="5">
        <f t="shared" ca="1" si="81"/>
        <v>-38.994374046420035</v>
      </c>
      <c r="I478">
        <f t="shared" ca="1" si="76"/>
        <v>80.712506207668795</v>
      </c>
      <c r="J478">
        <f t="shared" ca="1" si="82"/>
        <v>1.1551035779749648E-3</v>
      </c>
      <c r="K478" s="12">
        <f t="shared" si="77"/>
        <v>103.32039048439157</v>
      </c>
      <c r="L478" s="12">
        <f t="shared" si="78"/>
        <v>0.2004427172535059</v>
      </c>
      <c r="M478" s="12">
        <f t="shared" si="83"/>
        <v>62.729143644277514</v>
      </c>
      <c r="N478" s="12">
        <f t="shared" si="84"/>
        <v>143.91163732450562</v>
      </c>
      <c r="O478" s="14">
        <f t="shared" si="85"/>
        <v>3.7724309542963318E-2</v>
      </c>
      <c r="P478" s="15">
        <f t="shared" si="79"/>
        <v>5.3613947055543105E-3</v>
      </c>
    </row>
    <row r="479" spans="1:16" x14ac:dyDescent="0.3">
      <c r="A479">
        <v>477</v>
      </c>
      <c r="B479" s="3">
        <v>45404</v>
      </c>
      <c r="C479">
        <v>87.04</v>
      </c>
      <c r="D479">
        <v>87.25</v>
      </c>
      <c r="E479">
        <v>85.79</v>
      </c>
      <c r="F479">
        <v>87</v>
      </c>
      <c r="G479" s="5">
        <f t="shared" si="80"/>
        <v>-1.4452408741809292E-3</v>
      </c>
      <c r="H479" s="5">
        <f t="shared" ca="1" si="81"/>
        <v>-38.446579369581137</v>
      </c>
      <c r="I479">
        <f t="shared" ca="1" si="76"/>
        <v>81.112365335189949</v>
      </c>
      <c r="J479">
        <f t="shared" ca="1" si="82"/>
        <v>4.9418848597994666E-3</v>
      </c>
      <c r="K479" s="12">
        <f t="shared" si="77"/>
        <v>103.29272248515882</v>
      </c>
      <c r="L479" s="12">
        <f t="shared" si="78"/>
        <v>0.20065733442499059</v>
      </c>
      <c r="M479" s="12">
        <f t="shared" si="83"/>
        <v>62.668895460789194</v>
      </c>
      <c r="N479" s="12">
        <f t="shared" si="84"/>
        <v>143.91654950952847</v>
      </c>
      <c r="O479" s="14">
        <f t="shared" si="85"/>
        <v>3.8437603313725699E-2</v>
      </c>
      <c r="P479" s="15">
        <f t="shared" si="79"/>
        <v>5.5577728234593466E-3</v>
      </c>
    </row>
    <row r="480" spans="1:16" x14ac:dyDescent="0.3">
      <c r="A480">
        <v>478</v>
      </c>
      <c r="B480" s="3">
        <v>45405</v>
      </c>
      <c r="C480">
        <v>87.23</v>
      </c>
      <c r="D480">
        <v>88.49</v>
      </c>
      <c r="E480">
        <v>86.04</v>
      </c>
      <c r="F480">
        <v>88.42</v>
      </c>
      <c r="G480" s="5">
        <f t="shared" si="80"/>
        <v>7.0312579512366944E-3</v>
      </c>
      <c r="H480" s="5">
        <f t="shared" ca="1" si="81"/>
        <v>-39.653219367148345</v>
      </c>
      <c r="I480">
        <f t="shared" ca="1" si="76"/>
        <v>80.223564688419145</v>
      </c>
      <c r="J480">
        <f t="shared" ca="1" si="82"/>
        <v>-1.1018123963490084E-2</v>
      </c>
      <c r="K480" s="12">
        <f t="shared" si="77"/>
        <v>103.26506189509456</v>
      </c>
      <c r="L480" s="12">
        <f t="shared" si="78"/>
        <v>0.20087174002623362</v>
      </c>
      <c r="M480" s="12">
        <f t="shared" si="83"/>
        <v>62.608717868197225</v>
      </c>
      <c r="N480" s="12">
        <f t="shared" si="84"/>
        <v>143.92140592199189</v>
      </c>
      <c r="O480" s="14">
        <f t="shared" si="85"/>
        <v>3.4626843098668397E-2</v>
      </c>
      <c r="P480" s="15">
        <f t="shared" si="79"/>
        <v>4.5431508088554871E-3</v>
      </c>
    </row>
    <row r="481" spans="1:16" x14ac:dyDescent="0.3">
      <c r="A481">
        <v>479</v>
      </c>
      <c r="B481" s="3">
        <v>45406</v>
      </c>
      <c r="C481">
        <v>88.46</v>
      </c>
      <c r="D481">
        <v>88.8</v>
      </c>
      <c r="E481">
        <v>87.65</v>
      </c>
      <c r="F481">
        <v>88.02</v>
      </c>
      <c r="G481" s="5">
        <f t="shared" si="80"/>
        <v>-1.9691463429289012E-3</v>
      </c>
      <c r="H481" s="5">
        <f t="shared" ca="1" si="81"/>
        <v>-39.582349803900243</v>
      </c>
      <c r="I481">
        <f t="shared" ca="1" si="76"/>
        <v>80.271979754876511</v>
      </c>
      <c r="J481">
        <f t="shared" ca="1" si="82"/>
        <v>6.0331977555986682E-4</v>
      </c>
      <c r="K481" s="12">
        <f t="shared" si="77"/>
        <v>103.2374087122147</v>
      </c>
      <c r="L481" s="12">
        <f t="shared" si="78"/>
        <v>0.20108593473545458</v>
      </c>
      <c r="M481" s="12">
        <f t="shared" si="83"/>
        <v>62.548610684313466</v>
      </c>
      <c r="N481" s="12">
        <f t="shared" si="84"/>
        <v>143.92620674011593</v>
      </c>
      <c r="O481" s="14">
        <f t="shared" si="85"/>
        <v>3.5614725175812503E-2</v>
      </c>
      <c r="P481" s="15">
        <f t="shared" si="79"/>
        <v>4.7963562581922314E-3</v>
      </c>
    </row>
    <row r="482" spans="1:16" x14ac:dyDescent="0.3">
      <c r="A482">
        <v>480</v>
      </c>
      <c r="B482" s="3">
        <v>45407</v>
      </c>
      <c r="C482">
        <v>88.11</v>
      </c>
      <c r="D482">
        <v>89.26</v>
      </c>
      <c r="E482">
        <v>87.29</v>
      </c>
      <c r="F482">
        <v>89.01</v>
      </c>
      <c r="G482" s="5">
        <f t="shared" si="80"/>
        <v>4.8574368095779686E-3</v>
      </c>
      <c r="H482" s="5">
        <f t="shared" ca="1" si="81"/>
        <v>-38.892430136079966</v>
      </c>
      <c r="I482">
        <f t="shared" ca="1" si="76"/>
        <v>80.774022060618265</v>
      </c>
      <c r="J482">
        <f t="shared" ca="1" si="82"/>
        <v>6.2347891458141135E-3</v>
      </c>
      <c r="K482" s="12">
        <f t="shared" si="77"/>
        <v>103.20976293453569</v>
      </c>
      <c r="L482" s="12">
        <f t="shared" si="78"/>
        <v>0.20129991922732154</v>
      </c>
      <c r="M482" s="12">
        <f t="shared" si="83"/>
        <v>62.488573727837334</v>
      </c>
      <c r="N482" s="12">
        <f t="shared" si="84"/>
        <v>143.93095214123406</v>
      </c>
      <c r="O482" s="14">
        <f t="shared" si="85"/>
        <v>3.2974607583513844E-2</v>
      </c>
      <c r="P482" s="15">
        <f t="shared" si="79"/>
        <v>4.1321728848713419E-3</v>
      </c>
    </row>
    <row r="483" spans="1:16" x14ac:dyDescent="0.3">
      <c r="A483">
        <v>481</v>
      </c>
      <c r="B483" s="3">
        <v>45408</v>
      </c>
      <c r="C483">
        <v>89.21</v>
      </c>
      <c r="D483">
        <v>89.83</v>
      </c>
      <c r="E483">
        <v>88.8</v>
      </c>
      <c r="F483">
        <v>89.5</v>
      </c>
      <c r="G483" s="5">
        <f t="shared" si="80"/>
        <v>2.3842342794076292E-3</v>
      </c>
      <c r="H483" s="5">
        <f t="shared" ca="1" si="81"/>
        <v>-37.347861309379034</v>
      </c>
      <c r="I483">
        <f t="shared" ca="1" si="76"/>
        <v>81.913588806839854</v>
      </c>
      <c r="J483">
        <f t="shared" ca="1" si="82"/>
        <v>1.4009491912202401E-2</v>
      </c>
      <c r="K483" s="12">
        <f t="shared" si="77"/>
        <v>103.1821245600745</v>
      </c>
      <c r="L483" s="12">
        <f t="shared" si="78"/>
        <v>0.2015136941729776</v>
      </c>
      <c r="M483" s="12">
        <f t="shared" si="83"/>
        <v>62.428606818349309</v>
      </c>
      <c r="N483" s="12">
        <f t="shared" si="84"/>
        <v>143.93564230179967</v>
      </c>
      <c r="O483" s="14">
        <f t="shared" si="85"/>
        <v>3.165319267570324E-2</v>
      </c>
      <c r="P483" s="15">
        <f t="shared" si="79"/>
        <v>3.8169451676906925E-3</v>
      </c>
    </row>
    <row r="484" spans="1:16" x14ac:dyDescent="0.3">
      <c r="A484">
        <v>482</v>
      </c>
      <c r="B484" s="3">
        <v>45411</v>
      </c>
      <c r="C484">
        <v>89.25</v>
      </c>
      <c r="D484">
        <v>89.3</v>
      </c>
      <c r="E484">
        <v>88.1</v>
      </c>
      <c r="F484">
        <v>88.4</v>
      </c>
      <c r="G484" s="5">
        <f t="shared" si="80"/>
        <v>-5.370770302838856E-3</v>
      </c>
      <c r="H484" s="5">
        <f t="shared" ca="1" si="81"/>
        <v>-37.213090158457483</v>
      </c>
      <c r="I484">
        <f t="shared" ca="1" si="76"/>
        <v>82.010683558299831</v>
      </c>
      <c r="J484">
        <f t="shared" ca="1" si="82"/>
        <v>1.1846294805994933E-3</v>
      </c>
      <c r="K484" s="12">
        <f t="shared" si="77"/>
        <v>103.15449358684862</v>
      </c>
      <c r="L484" s="12">
        <f t="shared" si="78"/>
        <v>0.20172726024006762</v>
      </c>
      <c r="M484" s="12">
        <f t="shared" si="83"/>
        <v>62.368709776304478</v>
      </c>
      <c r="N484" s="12">
        <f t="shared" si="84"/>
        <v>143.94027739739275</v>
      </c>
      <c r="O484" s="14">
        <f t="shared" si="85"/>
        <v>3.4440036124391192E-2</v>
      </c>
      <c r="P484" s="15">
        <f t="shared" si="79"/>
        <v>4.4938100549028097E-3</v>
      </c>
    </row>
    <row r="485" spans="1:16" x14ac:dyDescent="0.3">
      <c r="A485">
        <v>483</v>
      </c>
      <c r="B485" s="3">
        <v>45412</v>
      </c>
      <c r="C485">
        <v>88.32</v>
      </c>
      <c r="D485">
        <v>88.71</v>
      </c>
      <c r="E485">
        <v>87.47</v>
      </c>
      <c r="F485">
        <v>87.86</v>
      </c>
      <c r="G485" s="5">
        <f t="shared" si="80"/>
        <v>-2.6610660837715155E-3</v>
      </c>
      <c r="H485" s="5">
        <f t="shared" ca="1" si="81"/>
        <v>-37.208645972087005</v>
      </c>
      <c r="I485">
        <f t="shared" ca="1" si="76"/>
        <v>82.01060575317058</v>
      </c>
      <c r="J485">
        <f t="shared" ca="1" si="82"/>
        <v>-9.4871988360345628E-7</v>
      </c>
      <c r="K485" s="12">
        <f t="shared" si="77"/>
        <v>103.1268700128761</v>
      </c>
      <c r="L485" s="12">
        <f t="shared" si="78"/>
        <v>0.20194061809276159</v>
      </c>
      <c r="M485" s="12">
        <f t="shared" si="83"/>
        <v>62.30888242302683</v>
      </c>
      <c r="N485" s="12">
        <f t="shared" si="84"/>
        <v>143.94485760272536</v>
      </c>
      <c r="O485" s="14">
        <f t="shared" si="85"/>
        <v>3.579635397898491E-2</v>
      </c>
      <c r="P485" s="15">
        <f t="shared" si="79"/>
        <v>4.8414651591748258E-3</v>
      </c>
    </row>
    <row r="486" spans="1:16" x14ac:dyDescent="0.3">
      <c r="A486">
        <v>484</v>
      </c>
      <c r="B486" s="3">
        <v>45413</v>
      </c>
      <c r="C486">
        <v>85.96</v>
      </c>
      <c r="D486">
        <v>85.96</v>
      </c>
      <c r="E486">
        <v>83.29</v>
      </c>
      <c r="F486">
        <v>83.44</v>
      </c>
      <c r="G486" s="5">
        <f t="shared" si="80"/>
        <v>-2.2416903510827188E-2</v>
      </c>
      <c r="H486" s="5">
        <f t="shared" ca="1" si="81"/>
        <v>-37.260715025281591</v>
      </c>
      <c r="I486">
        <f t="shared" ca="1" si="76"/>
        <v>81.96837731463566</v>
      </c>
      <c r="J486">
        <f t="shared" ca="1" si="82"/>
        <v>-5.1504697344009753E-4</v>
      </c>
      <c r="K486" s="12">
        <f t="shared" si="77"/>
        <v>103.09925383617549</v>
      </c>
      <c r="L486" s="12">
        <f t="shared" si="78"/>
        <v>0.20215376839178181</v>
      </c>
      <c r="M486" s="12">
        <f t="shared" si="83"/>
        <v>62.249124580702556</v>
      </c>
      <c r="N486" s="12">
        <f t="shared" si="84"/>
        <v>143.94938309164843</v>
      </c>
      <c r="O486" s="14">
        <f t="shared" si="85"/>
        <v>4.7820576636686998E-2</v>
      </c>
      <c r="P486" s="15">
        <f t="shared" si="79"/>
        <v>8.4421598275816728E-3</v>
      </c>
    </row>
    <row r="487" spans="1:16" x14ac:dyDescent="0.3">
      <c r="A487">
        <v>485</v>
      </c>
      <c r="B487" s="3">
        <v>45414</v>
      </c>
      <c r="C487">
        <v>83.56</v>
      </c>
      <c r="D487">
        <v>84.42</v>
      </c>
      <c r="E487">
        <v>83.03</v>
      </c>
      <c r="F487">
        <v>83.67</v>
      </c>
      <c r="G487" s="5">
        <f t="shared" si="80"/>
        <v>1.1954735672379082E-3</v>
      </c>
      <c r="H487" s="5">
        <f t="shared" ca="1" si="81"/>
        <v>-37.472481133699759</v>
      </c>
      <c r="I487">
        <f t="shared" ca="1" si="76"/>
        <v>81.807238252487593</v>
      </c>
      <c r="J487">
        <f t="shared" ca="1" si="82"/>
        <v>-1.9678034924507613E-3</v>
      </c>
      <c r="K487" s="12">
        <f t="shared" si="77"/>
        <v>103.07164505476592</v>
      </c>
      <c r="L487" s="12">
        <f t="shared" si="78"/>
        <v>0.202366711794427</v>
      </c>
      <c r="M487" s="12">
        <f t="shared" si="83"/>
        <v>62.189436072374349</v>
      </c>
      <c r="N487" s="12">
        <f t="shared" si="84"/>
        <v>143.9538540371575</v>
      </c>
      <c r="O487" s="14">
        <f t="shared" si="85"/>
        <v>4.7108531533421115E-2</v>
      </c>
      <c r="P487" s="15">
        <f t="shared" si="79"/>
        <v>8.2028232060486986E-3</v>
      </c>
    </row>
    <row r="488" spans="1:16" x14ac:dyDescent="0.3">
      <c r="A488">
        <v>486</v>
      </c>
      <c r="B488" s="3">
        <v>45415</v>
      </c>
      <c r="C488">
        <v>83.8</v>
      </c>
      <c r="D488">
        <v>84.4</v>
      </c>
      <c r="E488">
        <v>82.8</v>
      </c>
      <c r="F488">
        <v>82.96</v>
      </c>
      <c r="G488" s="5">
        <f t="shared" si="80"/>
        <v>-3.7010256047277897E-3</v>
      </c>
      <c r="H488" s="5">
        <f t="shared" ca="1" si="81"/>
        <v>-38.039580449995938</v>
      </c>
      <c r="I488">
        <f t="shared" ca="1" si="76"/>
        <v>81.382924159912562</v>
      </c>
      <c r="J488">
        <f t="shared" ca="1" si="82"/>
        <v>-5.2002527911744869E-3</v>
      </c>
      <c r="K488" s="12">
        <f t="shared" si="77"/>
        <v>103.04404366666699</v>
      </c>
      <c r="L488" s="12">
        <f t="shared" si="78"/>
        <v>0.20257944895459576</v>
      </c>
      <c r="M488" s="12">
        <f t="shared" si="83"/>
        <v>62.129816721935462</v>
      </c>
      <c r="N488" s="12">
        <f t="shared" si="84"/>
        <v>143.95827061139852</v>
      </c>
      <c r="O488" s="14">
        <f t="shared" si="85"/>
        <v>4.9067529986017266E-2</v>
      </c>
      <c r="P488" s="15">
        <f t="shared" si="79"/>
        <v>8.8650038878553584E-3</v>
      </c>
    </row>
    <row r="489" spans="1:16" x14ac:dyDescent="0.3">
      <c r="A489">
        <v>487</v>
      </c>
      <c r="B489" s="3">
        <v>45418</v>
      </c>
      <c r="C489">
        <v>82.98</v>
      </c>
      <c r="D489">
        <v>83.82</v>
      </c>
      <c r="E489">
        <v>82.76</v>
      </c>
      <c r="F489">
        <v>83.33</v>
      </c>
      <c r="G489" s="5">
        <f t="shared" si="80"/>
        <v>1.9326384446696758E-3</v>
      </c>
      <c r="H489" s="5">
        <f t="shared" ca="1" si="81"/>
        <v>-34.689671644845092</v>
      </c>
      <c r="I489">
        <f t="shared" ca="1" si="76"/>
        <v>83.897688124568262</v>
      </c>
      <c r="J489">
        <f t="shared" ca="1" si="82"/>
        <v>3.0432583866225198E-2</v>
      </c>
      <c r="K489" s="12">
        <f t="shared" si="77"/>
        <v>103.01644966989885</v>
      </c>
      <c r="L489" s="12">
        <f t="shared" si="78"/>
        <v>0.20279198052281439</v>
      </c>
      <c r="M489" s="12">
        <f t="shared" si="83"/>
        <v>62.07026635412312</v>
      </c>
      <c r="N489" s="12">
        <f t="shared" si="84"/>
        <v>143.96263298567456</v>
      </c>
      <c r="O489" s="14">
        <f t="shared" si="85"/>
        <v>4.7951442270282633E-2</v>
      </c>
      <c r="P489" s="15">
        <f t="shared" si="79"/>
        <v>8.4833672358047545E-3</v>
      </c>
    </row>
    <row r="490" spans="1:16" x14ac:dyDescent="0.3">
      <c r="A490">
        <v>488</v>
      </c>
      <c r="B490" s="3">
        <v>45419</v>
      </c>
      <c r="C490">
        <v>83.59</v>
      </c>
      <c r="D490">
        <v>83.87</v>
      </c>
      <c r="E490">
        <v>82.4</v>
      </c>
      <c r="F490">
        <v>83.16</v>
      </c>
      <c r="G490" s="5">
        <f t="shared" si="80"/>
        <v>-8.8690116622264258E-4</v>
      </c>
      <c r="H490" s="5">
        <f t="shared" ca="1" si="81"/>
        <v>-35.72567829247604</v>
      </c>
      <c r="I490">
        <f t="shared" ca="1" si="76"/>
        <v>83.107269541173309</v>
      </c>
      <c r="J490">
        <f t="shared" ca="1" si="82"/>
        <v>-9.4658804914143913E-3</v>
      </c>
      <c r="K490" s="12">
        <f t="shared" si="77"/>
        <v>102.98886306248221</v>
      </c>
      <c r="L490" s="12">
        <f t="shared" si="78"/>
        <v>0.20300430714625686</v>
      </c>
      <c r="M490" s="12">
        <f t="shared" si="83"/>
        <v>62.010784794513548</v>
      </c>
      <c r="N490" s="12">
        <f t="shared" si="84"/>
        <v>143.96694133045088</v>
      </c>
      <c r="O490" s="14">
        <f t="shared" si="85"/>
        <v>4.8374958409865505E-2</v>
      </c>
      <c r="P490" s="15">
        <f t="shared" si="79"/>
        <v>8.6259110961713539E-3</v>
      </c>
    </row>
    <row r="491" spans="1:16" x14ac:dyDescent="0.3">
      <c r="A491">
        <v>489</v>
      </c>
      <c r="B491" s="3">
        <v>45420</v>
      </c>
      <c r="C491">
        <v>83.04</v>
      </c>
      <c r="D491">
        <v>83.82</v>
      </c>
      <c r="E491">
        <v>81.72</v>
      </c>
      <c r="F491">
        <v>83.58</v>
      </c>
      <c r="G491" s="5">
        <f t="shared" si="80"/>
        <v>2.1878861481755057E-3</v>
      </c>
      <c r="H491" s="5">
        <f t="shared" ca="1" si="81"/>
        <v>-35.718745346562372</v>
      </c>
      <c r="I491">
        <f t="shared" ca="1" si="76"/>
        <v>83.109072274363299</v>
      </c>
      <c r="J491">
        <f t="shared" ca="1" si="82"/>
        <v>2.1691407359392393E-5</v>
      </c>
      <c r="K491" s="12">
        <f t="shared" si="77"/>
        <v>102.96128384243828</v>
      </c>
      <c r="L491" s="12">
        <f t="shared" si="78"/>
        <v>0.2032164294687738</v>
      </c>
      <c r="M491" s="12">
        <f t="shared" si="83"/>
        <v>61.951371869515008</v>
      </c>
      <c r="N491" s="12">
        <f t="shared" si="84"/>
        <v>143.97119581536157</v>
      </c>
      <c r="O491" s="14">
        <f t="shared" si="85"/>
        <v>4.712110238308264E-2</v>
      </c>
      <c r="P491" s="15">
        <f t="shared" si="79"/>
        <v>8.203211541538755E-3</v>
      </c>
    </row>
    <row r="492" spans="1:16" x14ac:dyDescent="0.3">
      <c r="A492">
        <v>490</v>
      </c>
      <c r="B492" s="3">
        <v>45421</v>
      </c>
      <c r="C492">
        <v>83.78</v>
      </c>
      <c r="D492">
        <v>84.33</v>
      </c>
      <c r="E492">
        <v>83.46</v>
      </c>
      <c r="F492">
        <v>83.88</v>
      </c>
      <c r="G492" s="5">
        <f t="shared" si="80"/>
        <v>1.5560549856991513E-3</v>
      </c>
      <c r="H492" s="5">
        <f t="shared" ca="1" si="81"/>
        <v>-35.939720234689318</v>
      </c>
      <c r="I492">
        <f t="shared" ca="1" si="76"/>
        <v>82.938742534401641</v>
      </c>
      <c r="J492">
        <f t="shared" ca="1" si="82"/>
        <v>-2.0515753236551131E-3</v>
      </c>
      <c r="K492" s="12">
        <f t="shared" si="77"/>
        <v>102.9337120077888</v>
      </c>
      <c r="L492" s="12">
        <f t="shared" si="78"/>
        <v>0.20342834813091074</v>
      </c>
      <c r="M492" s="12">
        <f t="shared" si="83"/>
        <v>61.892027406363162</v>
      </c>
      <c r="N492" s="12">
        <f t="shared" si="84"/>
        <v>143.97539660921444</v>
      </c>
      <c r="O492" s="14">
        <f t="shared" si="85"/>
        <v>4.6213616636479785E-2</v>
      </c>
      <c r="P492" s="15">
        <f t="shared" si="79"/>
        <v>7.9030700443346574E-3</v>
      </c>
    </row>
    <row r="493" spans="1:16" x14ac:dyDescent="0.3">
      <c r="A493">
        <v>491</v>
      </c>
      <c r="B493" s="3">
        <v>45422</v>
      </c>
      <c r="C493">
        <v>84.21</v>
      </c>
      <c r="D493">
        <v>84.52</v>
      </c>
      <c r="E493">
        <v>82.71</v>
      </c>
      <c r="F493">
        <v>82.79</v>
      </c>
      <c r="G493" s="5">
        <f t="shared" si="80"/>
        <v>-5.6805392003979422E-3</v>
      </c>
      <c r="H493" s="5">
        <f t="shared" ca="1" si="81"/>
        <v>-38.079710886266817</v>
      </c>
      <c r="I493">
        <f t="shared" ca="1" si="76"/>
        <v>81.336390421319194</v>
      </c>
      <c r="J493">
        <f t="shared" ca="1" si="82"/>
        <v>-1.9508770489425818E-2</v>
      </c>
      <c r="K493" s="12">
        <f t="shared" si="77"/>
        <v>102.90614755655605</v>
      </c>
      <c r="L493" s="12">
        <f t="shared" si="78"/>
        <v>0.20364006376993676</v>
      </c>
      <c r="M493" s="12">
        <f t="shared" si="83"/>
        <v>61.83275123311428</v>
      </c>
      <c r="N493" s="12">
        <f t="shared" si="84"/>
        <v>143.97954387999783</v>
      </c>
      <c r="O493" s="14">
        <f t="shared" si="85"/>
        <v>4.9251578089038447E-2</v>
      </c>
      <c r="P493" s="15">
        <f t="shared" si="79"/>
        <v>8.9233410163008509E-3</v>
      </c>
    </row>
    <row r="494" spans="1:16" x14ac:dyDescent="0.3">
      <c r="A494">
        <v>492</v>
      </c>
      <c r="B494" s="3">
        <v>45425</v>
      </c>
      <c r="C494">
        <v>82.7</v>
      </c>
      <c r="D494">
        <v>83.83</v>
      </c>
      <c r="E494">
        <v>82.26</v>
      </c>
      <c r="F494">
        <v>83.36</v>
      </c>
      <c r="G494" s="5">
        <f t="shared" si="80"/>
        <v>2.9798233625409295E-3</v>
      </c>
      <c r="H494" s="5">
        <f t="shared" ca="1" si="81"/>
        <v>-38.262744501880945</v>
      </c>
      <c r="I494">
        <f t="shared" ca="1" si="76"/>
        <v>81.197714294965522</v>
      </c>
      <c r="J494">
        <f t="shared" ca="1" si="82"/>
        <v>-1.7064253714199594E-3</v>
      </c>
      <c r="K494" s="12">
        <f t="shared" si="77"/>
        <v>102.87859048676285</v>
      </c>
      <c r="L494" s="12">
        <f t="shared" si="78"/>
        <v>0.20385157701986562</v>
      </c>
      <c r="M494" s="12">
        <f t="shared" si="83"/>
        <v>61.773543178640054</v>
      </c>
      <c r="N494" s="12">
        <f t="shared" si="84"/>
        <v>143.98363779488562</v>
      </c>
      <c r="O494" s="14">
        <f t="shared" si="85"/>
        <v>4.7563410284700569E-2</v>
      </c>
      <c r="P494" s="15">
        <f t="shared" si="79"/>
        <v>8.3479834193692683E-3</v>
      </c>
    </row>
    <row r="495" spans="1:16" x14ac:dyDescent="0.3">
      <c r="A495">
        <v>493</v>
      </c>
      <c r="B495" s="3">
        <v>45426</v>
      </c>
      <c r="C495">
        <v>83.5</v>
      </c>
      <c r="D495">
        <v>83.62</v>
      </c>
      <c r="E495">
        <v>82.1</v>
      </c>
      <c r="F495">
        <v>82.38</v>
      </c>
      <c r="G495" s="5">
        <f t="shared" si="80"/>
        <v>-5.1359183350505452E-3</v>
      </c>
      <c r="H495" s="5">
        <f t="shared" ca="1" si="81"/>
        <v>-39.28698785727051</v>
      </c>
      <c r="I495">
        <f t="shared" ca="1" si="76"/>
        <v>80.441340335351441</v>
      </c>
      <c r="J495">
        <f t="shared" ca="1" si="82"/>
        <v>-9.358870381148042E-3</v>
      </c>
      <c r="K495" s="12">
        <f t="shared" si="77"/>
        <v>102.85104079643251</v>
      </c>
      <c r="L495" s="12">
        <f t="shared" si="78"/>
        <v>0.20406288851147797</v>
      </c>
      <c r="M495" s="12">
        <f t="shared" si="83"/>
        <v>61.714403072622027</v>
      </c>
      <c r="N495" s="12">
        <f t="shared" si="84"/>
        <v>143.98767852024301</v>
      </c>
      <c r="O495" s="14">
        <f t="shared" si="85"/>
        <v>5.0310996502222032E-2</v>
      </c>
      <c r="P495" s="15">
        <f t="shared" si="79"/>
        <v>9.2904351192527115E-3</v>
      </c>
    </row>
    <row r="496" spans="1:16" x14ac:dyDescent="0.3">
      <c r="A496">
        <v>494</v>
      </c>
      <c r="B496" s="3">
        <v>45427</v>
      </c>
      <c r="C496">
        <v>82.77</v>
      </c>
      <c r="D496">
        <v>83.07</v>
      </c>
      <c r="E496">
        <v>81.06</v>
      </c>
      <c r="F496">
        <v>82.75</v>
      </c>
      <c r="G496" s="5">
        <f t="shared" si="80"/>
        <v>1.9462148273576079E-3</v>
      </c>
      <c r="H496" s="5">
        <f t="shared" ca="1" si="81"/>
        <v>-40.19494453433326</v>
      </c>
      <c r="I496">
        <f t="shared" ca="1" si="76"/>
        <v>79.776359309952653</v>
      </c>
      <c r="J496">
        <f t="shared" ca="1" si="82"/>
        <v>-8.3010159969399977E-3</v>
      </c>
      <c r="K496" s="12">
        <f t="shared" si="77"/>
        <v>102.82349848358893</v>
      </c>
      <c r="L496" s="12">
        <f t="shared" si="78"/>
        <v>0.20427399887234585</v>
      </c>
      <c r="M496" s="12">
        <f t="shared" si="83"/>
        <v>61.655330745545825</v>
      </c>
      <c r="N496" s="12">
        <f t="shared" si="84"/>
        <v>143.99166622163202</v>
      </c>
      <c r="O496" s="14">
        <f t="shared" si="85"/>
        <v>4.9184454908511199E-2</v>
      </c>
      <c r="P496" s="15">
        <f t="shared" si="79"/>
        <v>8.8970875005678959E-3</v>
      </c>
    </row>
    <row r="497" spans="1:16" x14ac:dyDescent="0.3">
      <c r="A497">
        <v>495</v>
      </c>
      <c r="B497" s="3">
        <v>45428</v>
      </c>
      <c r="C497">
        <v>82.93</v>
      </c>
      <c r="D497">
        <v>83.78</v>
      </c>
      <c r="E497">
        <v>82.31</v>
      </c>
      <c r="F497">
        <v>83.27</v>
      </c>
      <c r="G497" s="5">
        <f t="shared" si="80"/>
        <v>2.7205622105414004E-3</v>
      </c>
      <c r="H497" s="5">
        <f t="shared" ca="1" si="81"/>
        <v>-39.408563455709235</v>
      </c>
      <c r="I497">
        <f t="shared" ca="1" si="76"/>
        <v>80.345774757454777</v>
      </c>
      <c r="J497">
        <f t="shared" ca="1" si="82"/>
        <v>7.1122940139026645E-3</v>
      </c>
      <c r="K497" s="12">
        <f t="shared" si="77"/>
        <v>102.79596354625647</v>
      </c>
      <c r="L497" s="12">
        <f t="shared" si="78"/>
        <v>0.20448490872685599</v>
      </c>
      <c r="M497" s="12">
        <f t="shared" si="83"/>
        <v>61.596326028695344</v>
      </c>
      <c r="N497" s="12">
        <f t="shared" si="84"/>
        <v>143.99560106381759</v>
      </c>
      <c r="O497" s="14">
        <f t="shared" si="85"/>
        <v>4.7637616139618873E-2</v>
      </c>
      <c r="P497" s="15">
        <f t="shared" si="79"/>
        <v>8.3699621153246039E-3</v>
      </c>
    </row>
    <row r="498" spans="1:16" x14ac:dyDescent="0.3">
      <c r="A498">
        <v>496</v>
      </c>
      <c r="B498" s="3">
        <v>45429</v>
      </c>
      <c r="C498">
        <v>83.44</v>
      </c>
      <c r="D498">
        <v>84.04</v>
      </c>
      <c r="E498">
        <v>83.09</v>
      </c>
      <c r="F498">
        <v>83.98</v>
      </c>
      <c r="G498" s="5">
        <f t="shared" si="80"/>
        <v>3.687305643623085E-3</v>
      </c>
      <c r="H498" s="5">
        <f t="shared" ca="1" si="81"/>
        <v>-40.358723929639304</v>
      </c>
      <c r="I498">
        <f t="shared" ca="1" si="76"/>
        <v>79.650997785291423</v>
      </c>
      <c r="J498">
        <f t="shared" ca="1" si="82"/>
        <v>-8.6849419305782775E-3</v>
      </c>
      <c r="K498" s="12">
        <f t="shared" si="77"/>
        <v>102.76843598246009</v>
      </c>
      <c r="L498" s="12">
        <f t="shared" si="78"/>
        <v>0.20469561869623085</v>
      </c>
      <c r="M498" s="12">
        <f t="shared" si="83"/>
        <v>61.537388754147713</v>
      </c>
      <c r="N498" s="12">
        <f t="shared" si="84"/>
        <v>143.99948321077247</v>
      </c>
      <c r="O498" s="14">
        <f t="shared" si="85"/>
        <v>4.5569575092541822E-2</v>
      </c>
      <c r="P498" s="15">
        <f t="shared" si="79"/>
        <v>7.6884622529539218E-3</v>
      </c>
    </row>
    <row r="499" spans="1:16" x14ac:dyDescent="0.3">
      <c r="A499">
        <v>497</v>
      </c>
      <c r="B499" s="3">
        <v>45432</v>
      </c>
      <c r="C499">
        <v>84</v>
      </c>
      <c r="D499">
        <v>84.5</v>
      </c>
      <c r="E499">
        <v>83.12</v>
      </c>
      <c r="F499">
        <v>83.71</v>
      </c>
      <c r="G499" s="5">
        <f t="shared" si="80"/>
        <v>-1.3985283731230333E-3</v>
      </c>
      <c r="H499" s="5">
        <f t="shared" ca="1" si="81"/>
        <v>-41.961929487710556</v>
      </c>
      <c r="I499">
        <f t="shared" ca="1" si="76"/>
        <v>78.494526903727817</v>
      </c>
      <c r="J499">
        <f t="shared" ca="1" si="82"/>
        <v>-1.462566201377396E-2</v>
      </c>
      <c r="K499" s="12">
        <f t="shared" si="77"/>
        <v>102.7409157902252</v>
      </c>
      <c r="L499" s="12">
        <f t="shared" si="78"/>
        <v>0.20490612939855085</v>
      </c>
      <c r="M499" s="12">
        <f t="shared" si="83"/>
        <v>61.478518754767691</v>
      </c>
      <c r="N499" s="12">
        <f t="shared" si="84"/>
        <v>144.00331282568271</v>
      </c>
      <c r="O499" s="14">
        <f t="shared" si="85"/>
        <v>4.6269575087535951E-2</v>
      </c>
      <c r="P499" s="15">
        <f t="shared" si="79"/>
        <v>7.9149652764672167E-3</v>
      </c>
    </row>
    <row r="500" spans="1:16" x14ac:dyDescent="0.3">
      <c r="A500">
        <v>498</v>
      </c>
      <c r="B500" s="3">
        <v>45433</v>
      </c>
      <c r="C500">
        <v>83.7</v>
      </c>
      <c r="D500">
        <v>83.74</v>
      </c>
      <c r="E500">
        <v>82.06</v>
      </c>
      <c r="F500">
        <v>82.88</v>
      </c>
      <c r="G500" s="5">
        <f t="shared" si="80"/>
        <v>-4.3275995276400754E-3</v>
      </c>
      <c r="H500" s="5">
        <f t="shared" ca="1" si="81"/>
        <v>-41.360564817765315</v>
      </c>
      <c r="I500">
        <f t="shared" ca="1" si="76"/>
        <v>78.921849020342933</v>
      </c>
      <c r="J500">
        <f t="shared" ca="1" si="82"/>
        <v>5.4292085402493969E-3</v>
      </c>
      <c r="K500" s="12">
        <f t="shared" si="77"/>
        <v>102.71340296757782</v>
      </c>
      <c r="L500" s="12">
        <f t="shared" si="78"/>
        <v>0.20511644144877875</v>
      </c>
      <c r="M500" s="12">
        <f t="shared" si="83"/>
        <v>61.41971586420199</v>
      </c>
      <c r="N500" s="12">
        <f t="shared" si="84"/>
        <v>144.00709007095364</v>
      </c>
      <c r="O500" s="14">
        <f t="shared" si="85"/>
        <v>4.8569099038731793E-2</v>
      </c>
      <c r="P500" s="15">
        <f t="shared" si="79"/>
        <v>8.6820233124311249E-3</v>
      </c>
    </row>
    <row r="501" spans="1:16" x14ac:dyDescent="0.3">
      <c r="A501">
        <v>499</v>
      </c>
      <c r="B501" s="3">
        <v>45434</v>
      </c>
      <c r="C501">
        <v>82.48</v>
      </c>
      <c r="D501">
        <v>82.64</v>
      </c>
      <c r="E501">
        <v>81.58</v>
      </c>
      <c r="F501">
        <v>81.900000000000006</v>
      </c>
      <c r="G501" s="5">
        <f t="shared" si="80"/>
        <v>-5.1658406407392886E-3</v>
      </c>
      <c r="H501" s="5">
        <f t="shared" ca="1" si="81"/>
        <v>-40.873426297346683</v>
      </c>
      <c r="I501">
        <f t="shared" ca="1" si="76"/>
        <v>79.269085369458111</v>
      </c>
      <c r="J501">
        <f t="shared" ca="1" si="82"/>
        <v>4.3900986885748814E-3</v>
      </c>
      <c r="K501" s="12">
        <f t="shared" si="77"/>
        <v>102.68589751254444</v>
      </c>
      <c r="L501" s="12">
        <f t="shared" si="78"/>
        <v>0.20532655545877834</v>
      </c>
      <c r="M501" s="12">
        <f t="shared" si="83"/>
        <v>61.360979916874435</v>
      </c>
      <c r="N501" s="12">
        <f t="shared" si="84"/>
        <v>144.01081510821444</v>
      </c>
      <c r="O501" s="14">
        <f t="shared" si="85"/>
        <v>5.1339428248340792E-2</v>
      </c>
      <c r="P501" s="15">
        <f t="shared" si="79"/>
        <v>9.6485241965873336E-3</v>
      </c>
    </row>
    <row r="502" spans="1:16" x14ac:dyDescent="0.3">
      <c r="A502">
        <v>500</v>
      </c>
      <c r="B502" s="3">
        <v>45435</v>
      </c>
      <c r="C502">
        <v>81.69</v>
      </c>
      <c r="D502">
        <v>82.97</v>
      </c>
      <c r="E502">
        <v>80.930000000000007</v>
      </c>
      <c r="F502">
        <v>81.36</v>
      </c>
      <c r="G502" s="5">
        <f t="shared" si="80"/>
        <v>-2.8729618457303298E-3</v>
      </c>
      <c r="H502" s="5">
        <f t="shared" ca="1" si="81"/>
        <v>-42.323481481192793</v>
      </c>
      <c r="I502">
        <f t="shared" ca="1" si="76"/>
        <v>78.227069760709597</v>
      </c>
      <c r="J502">
        <f t="shared" ca="1" si="82"/>
        <v>-1.3232460340562075E-2</v>
      </c>
      <c r="K502" s="12">
        <f t="shared" si="77"/>
        <v>102.6583994231521</v>
      </c>
      <c r="L502" s="12">
        <f t="shared" si="78"/>
        <v>0.20553647203733894</v>
      </c>
      <c r="M502" s="12">
        <f t="shared" si="83"/>
        <v>61.302310747980137</v>
      </c>
      <c r="N502" s="12">
        <f t="shared" si="84"/>
        <v>144.01448809832408</v>
      </c>
      <c r="O502" s="14">
        <f t="shared" si="85"/>
        <v>5.2859595148810279E-2</v>
      </c>
      <c r="P502" s="15">
        <f t="shared" si="79"/>
        <v>1.0197677138693484E-2</v>
      </c>
    </row>
    <row r="503" spans="1:16" x14ac:dyDescent="0.3">
      <c r="A503">
        <v>501</v>
      </c>
      <c r="B503" s="3">
        <v>45436</v>
      </c>
      <c r="C503">
        <v>81.540000000000006</v>
      </c>
      <c r="D503">
        <v>82.45</v>
      </c>
      <c r="E503">
        <v>80.66</v>
      </c>
      <c r="F503">
        <v>82.12</v>
      </c>
      <c r="G503" s="5">
        <f t="shared" si="80"/>
        <v>4.0380007838660822E-3</v>
      </c>
      <c r="H503" s="5">
        <f t="shared" ca="1" si="81"/>
        <v>-42.35343373054053</v>
      </c>
      <c r="I503">
        <f t="shared" ca="1" si="76"/>
        <v>78.202521933015291</v>
      </c>
      <c r="J503">
        <f t="shared" ca="1" si="82"/>
        <v>-3.1385146032814455E-4</v>
      </c>
      <c r="K503" s="12">
        <f t="shared" si="77"/>
        <v>102.63090869742837</v>
      </c>
      <c r="L503" s="12">
        <f t="shared" si="78"/>
        <v>0.20574619179019624</v>
      </c>
      <c r="M503" s="12">
        <f t="shared" si="83"/>
        <v>61.243708193480458</v>
      </c>
      <c r="N503" s="12">
        <f t="shared" si="84"/>
        <v>144.01810920137629</v>
      </c>
      <c r="O503" s="14">
        <f t="shared" si="85"/>
        <v>5.0578122728848943E-2</v>
      </c>
      <c r="P503" s="15">
        <f t="shared" si="79"/>
        <v>9.3759004564727584E-3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8276FD-5530-4FB0-84AB-6996DAF739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Data</vt:lpstr>
      <vt:lpstr>BrentCrudeOilPrice</vt:lpstr>
      <vt:lpstr>MME</vt:lpstr>
      <vt:lpstr>MME_Plot</vt:lpstr>
      <vt:lpstr>HistMME_Combined</vt:lpstr>
      <vt:lpstr>DeltaT</vt:lpstr>
      <vt:lpstr>Mu</vt:lpstr>
      <vt:lpstr>n</vt:lpstr>
      <vt:lpstr>sigma</vt:lpstr>
      <vt:lpstr>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iv521</dc:creator>
  <cp:lastModifiedBy>iv521</cp:lastModifiedBy>
  <dcterms:created xsi:type="dcterms:W3CDTF">2024-05-26T12:55:21Z</dcterms:created>
  <dcterms:modified xsi:type="dcterms:W3CDTF">2024-06-03T14:08:33Z</dcterms:modified>
</cp:coreProperties>
</file>
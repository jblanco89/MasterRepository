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cuments\MASTER\Quarter2\MVDCF\Lab1\"/>
    </mc:Choice>
  </mc:AlternateContent>
  <xr:revisionPtr revIDLastSave="0" documentId="13_ncr:1_{DF416446-9AE0-416D-B0BC-DFB6009FAE16}" xr6:coauthVersionLast="47" xr6:coauthVersionMax="47" xr10:uidLastSave="{00000000-0000-0000-0000-000000000000}"/>
  <bookViews>
    <workbookView xWindow="-108" yWindow="-108" windowWidth="23256" windowHeight="12456" activeTab="2" xr2:uid="{7ADD988D-81A7-48DB-846E-BB9A31DDD42E}"/>
  </bookViews>
  <sheets>
    <sheet name="Fundamento" sheetId="1" r:id="rId1"/>
    <sheet name="Análisis" sheetId="2" r:id="rId2"/>
    <sheet name="Simulación" sheetId="3" r:id="rId3"/>
  </sheets>
  <definedNames>
    <definedName name="E">Simulación!$B$3</definedName>
    <definedName name="PrimaC">Simulación!$B$4</definedName>
    <definedName name="PrimaP">Simulación!$B$5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3" l="1" a="1"/>
  <c r="A11" i="3" s="1"/>
  <c r="B31" i="3" l="1"/>
  <c r="D11" i="3"/>
  <c r="E11" i="3" s="1"/>
  <c r="B11" i="3"/>
  <c r="C11" i="3"/>
  <c r="F11" i="3"/>
  <c r="C15" i="3" l="1"/>
  <c r="F15" i="3"/>
  <c r="D15" i="3"/>
  <c r="E15" i="3" s="1"/>
  <c r="B15" i="3"/>
  <c r="D21" i="3"/>
  <c r="E21" i="3" s="1"/>
  <c r="B21" i="3"/>
  <c r="C21" i="3"/>
  <c r="F21" i="3"/>
  <c r="C31" i="3"/>
  <c r="D31" i="3"/>
  <c r="E31" i="3" s="1"/>
  <c r="F31" i="3"/>
  <c r="D19" i="3"/>
  <c r="E19" i="3" s="1"/>
  <c r="B19" i="3"/>
  <c r="F19" i="3"/>
  <c r="C19" i="3"/>
  <c r="D29" i="3"/>
  <c r="E29" i="3" s="1"/>
  <c r="F29" i="3"/>
  <c r="C29" i="3"/>
  <c r="B29" i="3"/>
  <c r="D18" i="3"/>
  <c r="E18" i="3" s="1"/>
  <c r="F18" i="3"/>
  <c r="C18" i="3"/>
  <c r="B18" i="3"/>
  <c r="D27" i="3"/>
  <c r="E27" i="3" s="1"/>
  <c r="F27" i="3"/>
  <c r="C27" i="3"/>
  <c r="B27" i="3"/>
  <c r="D25" i="3"/>
  <c r="E25" i="3" s="1"/>
  <c r="C25" i="3"/>
  <c r="F25" i="3"/>
  <c r="B25" i="3"/>
  <c r="F16" i="3"/>
  <c r="C16" i="3"/>
  <c r="D16" i="3"/>
  <c r="E16" i="3" s="1"/>
  <c r="B16" i="3"/>
  <c r="B26" i="3"/>
  <c r="C26" i="3"/>
  <c r="D26" i="3"/>
  <c r="E26" i="3" s="1"/>
  <c r="F26" i="3"/>
  <c r="F14" i="3"/>
  <c r="D14" i="3"/>
  <c r="E14" i="3" s="1"/>
  <c r="B14" i="3"/>
  <c r="C14" i="3"/>
  <c r="B24" i="3"/>
  <c r="C24" i="3"/>
  <c r="D24" i="3"/>
  <c r="E24" i="3" s="1"/>
  <c r="F24" i="3"/>
  <c r="D12" i="3"/>
  <c r="E12" i="3" s="1"/>
  <c r="B12" i="3"/>
  <c r="F12" i="3"/>
  <c r="C12" i="3"/>
  <c r="D22" i="3"/>
  <c r="E22" i="3" s="1"/>
  <c r="B22" i="3"/>
  <c r="F22" i="3"/>
  <c r="C22" i="3"/>
  <c r="F17" i="3"/>
  <c r="C17" i="3"/>
  <c r="D17" i="3"/>
  <c r="E17" i="3" s="1"/>
  <c r="B17" i="3"/>
  <c r="D20" i="3"/>
  <c r="E20" i="3" s="1"/>
  <c r="B20" i="3"/>
  <c r="F20" i="3"/>
  <c r="C20" i="3"/>
  <c r="B30" i="3"/>
  <c r="C30" i="3"/>
  <c r="F30" i="3"/>
  <c r="D30" i="3"/>
  <c r="E30" i="3" s="1"/>
  <c r="D13" i="3"/>
  <c r="E13" i="3" s="1"/>
  <c r="B13" i="3"/>
  <c r="C13" i="3"/>
  <c r="F13" i="3"/>
  <c r="F23" i="3"/>
  <c r="D23" i="3"/>
  <c r="E23" i="3" s="1"/>
  <c r="C23" i="3"/>
  <c r="B23" i="3"/>
  <c r="B28" i="3"/>
  <c r="C28" i="3"/>
  <c r="D28" i="3"/>
  <c r="E28" i="3" s="1"/>
  <c r="F2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<sst xmlns="http://schemas.openxmlformats.org/spreadsheetml/2006/main" count="37" uniqueCount="33">
  <si>
    <t xml:space="preserve">   Análisis de una estrategia sintética con opciones</t>
  </si>
  <si>
    <t>Estrategia</t>
  </si>
  <si>
    <r>
      <t>La estrategia aplicada se tratra de la compra simultánea de una opción de compra (</t>
    </r>
    <r>
      <rPr>
        <b/>
        <i/>
        <sz val="11"/>
        <color theme="1"/>
        <rFont val="Aptos Narrow"/>
        <family val="2"/>
        <scheme val="minor"/>
      </rPr>
      <t>call</t>
    </r>
    <r>
      <rPr>
        <i/>
        <sz val="11"/>
        <color theme="1"/>
        <rFont val="Aptos Narrow"/>
        <family val="2"/>
        <scheme val="minor"/>
      </rPr>
      <t>) y una opción de venta (</t>
    </r>
    <r>
      <rPr>
        <b/>
        <i/>
        <sz val="11"/>
        <color theme="1"/>
        <rFont val="Aptos Narrow"/>
        <family val="2"/>
        <scheme val="minor"/>
      </rPr>
      <t>put</t>
    </r>
    <r>
      <rPr>
        <i/>
        <sz val="11"/>
        <color theme="1"/>
        <rFont val="Aptos Narrow"/>
        <family val="2"/>
        <scheme val="minor"/>
      </rPr>
      <t>), lo que se conoce como call largo y put largo</t>
    </r>
  </si>
  <si>
    <t>Nombre Técnico</t>
  </si>
  <si>
    <t>Long Straddle</t>
  </si>
  <si>
    <t>Aplicación:</t>
  </si>
  <si>
    <r>
      <t xml:space="preserve">Un </t>
    </r>
    <r>
      <rPr>
        <b/>
        <i/>
        <sz val="11"/>
        <color theme="1"/>
        <rFont val="Aptos Narrow"/>
        <family val="2"/>
        <scheme val="minor"/>
      </rPr>
      <t>inversor</t>
    </r>
    <r>
      <rPr>
        <i/>
        <sz val="11"/>
        <color theme="1"/>
        <rFont val="Aptos Narrow"/>
        <family val="2"/>
        <scheme val="minor"/>
      </rPr>
      <t xml:space="preserve"> suele utilizar esta estrategia cuando cree que el precio del activo subyacente se moverá </t>
    </r>
    <r>
      <rPr>
        <b/>
        <i/>
        <sz val="11"/>
        <color theme="1"/>
        <rFont val="Aptos Narrow"/>
        <family val="2"/>
        <scheme val="minor"/>
      </rPr>
      <t>significativamente</t>
    </r>
    <r>
      <rPr>
        <i/>
        <sz val="11"/>
        <color theme="1"/>
        <rFont val="Aptos Narrow"/>
        <family val="2"/>
        <scheme val="minor"/>
      </rPr>
      <t xml:space="preserve"> fuera de un rango específico, pero no está seguro de qué dirección tomará el movimiento</t>
    </r>
  </si>
  <si>
    <t>B/P</t>
  </si>
  <si>
    <r>
      <t xml:space="preserve">Esta estrategia se vuelve </t>
    </r>
    <r>
      <rPr>
        <b/>
        <i/>
        <sz val="11"/>
        <color theme="1"/>
        <rFont val="Aptos Narrow"/>
        <family val="2"/>
        <scheme val="minor"/>
      </rPr>
      <t>rentable</t>
    </r>
    <r>
      <rPr>
        <i/>
        <sz val="11"/>
        <color theme="1"/>
        <rFont val="Aptos Narrow"/>
        <family val="2"/>
        <scheme val="minor"/>
      </rPr>
      <t xml:space="preserve"> cuando la acción realiza un gran movimiento en una dirección u otra. Al </t>
    </r>
    <r>
      <rPr>
        <b/>
        <i/>
        <sz val="11"/>
        <color theme="1"/>
        <rFont val="Aptos Narrow"/>
        <family val="2"/>
        <scheme val="minor"/>
      </rPr>
      <t>inversor</t>
    </r>
    <r>
      <rPr>
        <i/>
        <sz val="11"/>
        <color theme="1"/>
        <rFont val="Aptos Narrow"/>
        <family val="2"/>
        <scheme val="minor"/>
      </rPr>
      <t xml:space="preserve"> no le importa en qué dirección se mueven las acciones, sólo que sea un movimiento mayor que la prima total que el inversor pagó por las opciones.</t>
    </r>
  </si>
  <si>
    <r>
      <rPr>
        <b/>
        <i/>
        <sz val="11"/>
        <color rgb="FFC00000"/>
        <rFont val="Aptos Narrow"/>
        <family val="2"/>
        <scheme val="minor"/>
      </rPr>
      <t>Fuente</t>
    </r>
    <r>
      <rPr>
        <sz val="11"/>
        <color theme="1"/>
        <rFont val="Aptos Narrow"/>
        <family val="2"/>
        <scheme val="minor"/>
      </rPr>
      <t xml:space="preserve">: </t>
    </r>
    <r>
      <rPr>
        <i/>
        <sz val="11"/>
        <color theme="1"/>
        <rFont val="Aptos Narrow"/>
        <family val="2"/>
        <scheme val="minor"/>
      </rPr>
      <t>https://www.projectfinance.com/long-straddle/</t>
    </r>
  </si>
  <si>
    <t>1) compra de opción de compra (call)</t>
  </si>
  <si>
    <t>2) compra de opción de venta (put)</t>
  </si>
  <si>
    <t>Esto implica el pago de una prima C y una prima P. Por tanto, P + C</t>
  </si>
  <si>
    <t>Casuística</t>
  </si>
  <si>
    <t xml:space="preserve">Primer desembolso por concepto de ambas primas. P + C (o -P-C). Las pérdidas máximas que pudieran haber en este método se limita al total de primas compradas. </t>
  </si>
  <si>
    <t>(-P-C)</t>
  </si>
  <si>
    <t>Para St = 0</t>
  </si>
  <si>
    <t>Para St &gt;= E</t>
  </si>
  <si>
    <t>Se ejerce la opción de compra. El inversor obtiene beneficios:</t>
  </si>
  <si>
    <t>St - E - P- C</t>
  </si>
  <si>
    <t>Para St &lt;= E</t>
  </si>
  <si>
    <t xml:space="preserve">B/P </t>
  </si>
  <si>
    <t>E - St -P -C</t>
  </si>
  <si>
    <t>Se ejerce la opción de venta y el inversor obtiene beneficios por</t>
  </si>
  <si>
    <t>E</t>
  </si>
  <si>
    <t>Call</t>
  </si>
  <si>
    <t>Put</t>
  </si>
  <si>
    <t xml:space="preserve">St </t>
  </si>
  <si>
    <t>Call Payoff</t>
  </si>
  <si>
    <t>Put Payoffs</t>
  </si>
  <si>
    <t>% Beneficios</t>
  </si>
  <si>
    <t>Total Payoffs</t>
  </si>
  <si>
    <t xml:space="preserve"> Distancia 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</si>
</sst>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C00000"/>
      <name val="Calibri"/>
      <family val="2"/>
    </font>
    <font>
      <b/>
      <sz val="11"/>
      <color rgb="FFC00000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b/>
      <i/>
      <u/>
      <sz val="11"/>
      <color rgb="FFC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10" fillId="0" borderId="0" xfId="0" applyFont="1"/>
    <xf numFmtId="0" fontId="0" fillId="0" borderId="5" xfId="0" applyBorder="1"/>
    <xf numFmtId="0" fontId="3" fillId="2" borderId="5" xfId="0" applyFont="1" applyFill="1" applyBorder="1"/>
    <xf numFmtId="0" fontId="5" fillId="2" borderId="4" xfId="0" applyFont="1" applyFill="1" applyBorder="1"/>
    <xf numFmtId="0" fontId="4" fillId="0" borderId="6" xfId="0" applyFont="1" applyBorder="1" applyAlignment="1">
      <alignment horizontal="left" vertical="center"/>
    </xf>
    <xf numFmtId="0" fontId="0" fillId="0" borderId="7" xfId="0" applyBorder="1"/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44" fontId="3" fillId="0" borderId="9" xfId="1" applyFont="1" applyBorder="1"/>
    <xf numFmtId="44" fontId="3" fillId="0" borderId="11" xfId="1" applyFont="1" applyBorder="1"/>
    <xf numFmtId="44" fontId="3" fillId="0" borderId="12" xfId="1" applyFont="1" applyBorder="1"/>
    <xf numFmtId="0" fontId="2" fillId="3" borderId="8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44" fontId="0" fillId="0" borderId="0" xfId="1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11" xfId="2" applyFont="1" applyBorder="1" applyAlignment="1">
      <alignment horizontal="center"/>
    </xf>
    <xf numFmtId="1" fontId="11" fillId="0" borderId="10" xfId="0" applyNumberFormat="1" applyFont="1" applyBorder="1" applyAlignment="1">
      <alignment horizontal="center"/>
    </xf>
    <xf numFmtId="0" fontId="8" fillId="0" borderId="0" xfId="0" applyFont="1" applyAlignment="1">
      <alignment horizontal="justify" wrapText="1"/>
    </xf>
    <xf numFmtId="0" fontId="0" fillId="0" borderId="0" xfId="0" applyAlignment="1">
      <alignment horizontal="justify" wrapText="1"/>
    </xf>
    <xf numFmtId="0" fontId="0" fillId="0" borderId="0" xfId="0" applyAlignment="1">
      <alignment horizontal="justify"/>
    </xf>
    <xf numFmtId="0" fontId="0" fillId="0" borderId="0" xfId="0" applyAlignment="1">
      <alignment wrapText="1"/>
    </xf>
  </cellXfs>
  <cellStyles count="3">
    <cellStyle name="Moneda" xfId="1" builtinId="4"/>
    <cellStyle name="Normal" xfId="0" builtinId="0"/>
    <cellStyle name="Porcentaje" xfId="2" builtinId="5"/>
  </cellStyles>
  <dxfs count="2">
    <dxf>
      <font>
        <b/>
        <i val="0"/>
        <color rgb="FFC00000"/>
      </font>
    </dxf>
    <dxf>
      <font>
        <b/>
        <i val="0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long straddle individual</a:t>
            </a:r>
          </a:p>
        </c:rich>
      </c:tx>
      <c:layout>
        <c:manualLayout>
          <c:xMode val="edge"/>
          <c:yMode val="edge"/>
          <c:x val="0.222085184533497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Simulación!$B$10</c:f>
              <c:strCache>
                <c:ptCount val="1"/>
                <c:pt idx="0">
                  <c:v>Call Payoff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Simulación!$A$11:$A$31</c:f>
              <c:numCache>
                <c:formatCode>0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Simulación!$B$11:$B$31</c:f>
              <c:numCache>
                <c:formatCode>_("€"* #,##0.00_);_("€"* \(#,##0.00\);_("€"* "-"??_);_(@_)</c:formatCode>
                <c:ptCount val="21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-5</c:v>
                </c:pt>
                <c:pt idx="4">
                  <c:v>-5</c:v>
                </c:pt>
                <c:pt idx="5">
                  <c:v>-5</c:v>
                </c:pt>
                <c:pt idx="6">
                  <c:v>-5</c:v>
                </c:pt>
                <c:pt idx="7">
                  <c:v>-5</c:v>
                </c:pt>
                <c:pt idx="8">
                  <c:v>-5</c:v>
                </c:pt>
                <c:pt idx="9">
                  <c:v>-5</c:v>
                </c:pt>
                <c:pt idx="10">
                  <c:v>-5</c:v>
                </c:pt>
                <c:pt idx="11">
                  <c:v>5</c:v>
                </c:pt>
                <c:pt idx="12">
                  <c:v>15</c:v>
                </c:pt>
                <c:pt idx="13">
                  <c:v>25</c:v>
                </c:pt>
                <c:pt idx="14">
                  <c:v>35</c:v>
                </c:pt>
                <c:pt idx="15">
                  <c:v>45</c:v>
                </c:pt>
                <c:pt idx="16">
                  <c:v>55</c:v>
                </c:pt>
                <c:pt idx="17">
                  <c:v>65</c:v>
                </c:pt>
                <c:pt idx="18">
                  <c:v>75</c:v>
                </c:pt>
                <c:pt idx="19">
                  <c:v>85</c:v>
                </c:pt>
                <c:pt idx="20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68-4860-9B4E-EA695022A303}"/>
            </c:ext>
          </c:extLst>
        </c:ser>
        <c:ser>
          <c:idx val="1"/>
          <c:order val="1"/>
          <c:tx>
            <c:strRef>
              <c:f>Simulación!$C$10</c:f>
              <c:strCache>
                <c:ptCount val="1"/>
                <c:pt idx="0">
                  <c:v>Put Payoffs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Simulación!$A$11:$A$31</c:f>
              <c:numCache>
                <c:formatCode>0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Simulación!$C$11:$C$31</c:f>
              <c:numCache>
                <c:formatCode>_("€"* #,##0.00_);_("€"* \(#,##0.00\);_("€"* "-"??_);_(@_)</c:formatCode>
                <c:ptCount val="21"/>
                <c:pt idx="0">
                  <c:v>96</c:v>
                </c:pt>
                <c:pt idx="1">
                  <c:v>86</c:v>
                </c:pt>
                <c:pt idx="2">
                  <c:v>76</c:v>
                </c:pt>
                <c:pt idx="3">
                  <c:v>66</c:v>
                </c:pt>
                <c:pt idx="4">
                  <c:v>56</c:v>
                </c:pt>
                <c:pt idx="5">
                  <c:v>46</c:v>
                </c:pt>
                <c:pt idx="6">
                  <c:v>36</c:v>
                </c:pt>
                <c:pt idx="7">
                  <c:v>26</c:v>
                </c:pt>
                <c:pt idx="8">
                  <c:v>16</c:v>
                </c:pt>
                <c:pt idx="9">
                  <c:v>6</c:v>
                </c:pt>
                <c:pt idx="10">
                  <c:v>-4</c:v>
                </c:pt>
                <c:pt idx="11">
                  <c:v>-4</c:v>
                </c:pt>
                <c:pt idx="12">
                  <c:v>-4</c:v>
                </c:pt>
                <c:pt idx="13">
                  <c:v>-4</c:v>
                </c:pt>
                <c:pt idx="14">
                  <c:v>-4</c:v>
                </c:pt>
                <c:pt idx="15">
                  <c:v>-4</c:v>
                </c:pt>
                <c:pt idx="16">
                  <c:v>-4</c:v>
                </c:pt>
                <c:pt idx="17">
                  <c:v>-4</c:v>
                </c:pt>
                <c:pt idx="18">
                  <c:v>-4</c:v>
                </c:pt>
                <c:pt idx="19">
                  <c:v>-4</c:v>
                </c:pt>
                <c:pt idx="20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68-4860-9B4E-EA695022A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321426159"/>
        <c:axId val="1321427119"/>
      </c:lineChart>
      <c:catAx>
        <c:axId val="132142615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1427119"/>
        <c:crosses val="autoZero"/>
        <c:auto val="1"/>
        <c:lblAlgn val="ctr"/>
        <c:lblOffset val="100"/>
        <c:noMultiLvlLbl val="0"/>
      </c:catAx>
      <c:valAx>
        <c:axId val="1321427119"/>
        <c:scaling>
          <c:orientation val="minMax"/>
          <c:min val="-30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1426159"/>
        <c:crosses val="autoZero"/>
        <c:crossBetween val="between"/>
        <c:majorUnit val="10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long straddle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Simulación!$B$10</c:f>
              <c:strCache>
                <c:ptCount val="1"/>
                <c:pt idx="0">
                  <c:v>Call Payoff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Simulación!$A$11:$A$31</c:f>
              <c:numCache>
                <c:formatCode>0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Simulación!$B$11:$B$31</c:f>
              <c:numCache>
                <c:formatCode>_("€"* #,##0.00_);_("€"* \(#,##0.00\);_("€"* "-"??_);_(@_)</c:formatCode>
                <c:ptCount val="21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-5</c:v>
                </c:pt>
                <c:pt idx="4">
                  <c:v>-5</c:v>
                </c:pt>
                <c:pt idx="5">
                  <c:v>-5</c:v>
                </c:pt>
                <c:pt idx="6">
                  <c:v>-5</c:v>
                </c:pt>
                <c:pt idx="7">
                  <c:v>-5</c:v>
                </c:pt>
                <c:pt idx="8">
                  <c:v>-5</c:v>
                </c:pt>
                <c:pt idx="9">
                  <c:v>-5</c:v>
                </c:pt>
                <c:pt idx="10">
                  <c:v>-5</c:v>
                </c:pt>
                <c:pt idx="11">
                  <c:v>5</c:v>
                </c:pt>
                <c:pt idx="12">
                  <c:v>15</c:v>
                </c:pt>
                <c:pt idx="13">
                  <c:v>25</c:v>
                </c:pt>
                <c:pt idx="14">
                  <c:v>35</c:v>
                </c:pt>
                <c:pt idx="15">
                  <c:v>45</c:v>
                </c:pt>
                <c:pt idx="16">
                  <c:v>55</c:v>
                </c:pt>
                <c:pt idx="17">
                  <c:v>65</c:v>
                </c:pt>
                <c:pt idx="18">
                  <c:v>75</c:v>
                </c:pt>
                <c:pt idx="19">
                  <c:v>85</c:v>
                </c:pt>
                <c:pt idx="20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B7-4ABD-8667-2A783F4B52D9}"/>
            </c:ext>
          </c:extLst>
        </c:ser>
        <c:ser>
          <c:idx val="1"/>
          <c:order val="1"/>
          <c:tx>
            <c:strRef>
              <c:f>Simulación!$C$10</c:f>
              <c:strCache>
                <c:ptCount val="1"/>
                <c:pt idx="0">
                  <c:v>Put Payoffs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Simulación!$A$11:$A$31</c:f>
              <c:numCache>
                <c:formatCode>0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Simulación!$C$11:$C$31</c:f>
              <c:numCache>
                <c:formatCode>_("€"* #,##0.00_);_("€"* \(#,##0.00\);_("€"* "-"??_);_(@_)</c:formatCode>
                <c:ptCount val="21"/>
                <c:pt idx="0">
                  <c:v>96</c:v>
                </c:pt>
                <c:pt idx="1">
                  <c:v>86</c:v>
                </c:pt>
                <c:pt idx="2">
                  <c:v>76</c:v>
                </c:pt>
                <c:pt idx="3">
                  <c:v>66</c:v>
                </c:pt>
                <c:pt idx="4">
                  <c:v>56</c:v>
                </c:pt>
                <c:pt idx="5">
                  <c:v>46</c:v>
                </c:pt>
                <c:pt idx="6">
                  <c:v>36</c:v>
                </c:pt>
                <c:pt idx="7">
                  <c:v>26</c:v>
                </c:pt>
                <c:pt idx="8">
                  <c:v>16</c:v>
                </c:pt>
                <c:pt idx="9">
                  <c:v>6</c:v>
                </c:pt>
                <c:pt idx="10">
                  <c:v>-4</c:v>
                </c:pt>
                <c:pt idx="11">
                  <c:v>-4</c:v>
                </c:pt>
                <c:pt idx="12">
                  <c:v>-4</c:v>
                </c:pt>
                <c:pt idx="13">
                  <c:v>-4</c:v>
                </c:pt>
                <c:pt idx="14">
                  <c:v>-4</c:v>
                </c:pt>
                <c:pt idx="15">
                  <c:v>-4</c:v>
                </c:pt>
                <c:pt idx="16">
                  <c:v>-4</c:v>
                </c:pt>
                <c:pt idx="17">
                  <c:v>-4</c:v>
                </c:pt>
                <c:pt idx="18">
                  <c:v>-4</c:v>
                </c:pt>
                <c:pt idx="19">
                  <c:v>-4</c:v>
                </c:pt>
                <c:pt idx="20">
                  <c:v>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B7-4ABD-8667-2A783F4B52D9}"/>
            </c:ext>
          </c:extLst>
        </c:ser>
        <c:ser>
          <c:idx val="2"/>
          <c:order val="2"/>
          <c:tx>
            <c:strRef>
              <c:f>Simulación!$D$10</c:f>
              <c:strCache>
                <c:ptCount val="1"/>
                <c:pt idx="0">
                  <c:v>Total Payoffs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Simulación!$A$11:$A$31</c:f>
              <c:numCache>
                <c:formatCode>0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cat>
          <c:val>
            <c:numRef>
              <c:f>Simulación!$D$11:$D$31</c:f>
              <c:numCache>
                <c:formatCode>_("€"* #,##0.00_);_("€"* \(#,##0.00\);_("€"* "-"??_);_(@_)</c:formatCode>
                <c:ptCount val="21"/>
                <c:pt idx="0">
                  <c:v>91</c:v>
                </c:pt>
                <c:pt idx="1">
                  <c:v>81</c:v>
                </c:pt>
                <c:pt idx="2">
                  <c:v>71</c:v>
                </c:pt>
                <c:pt idx="3">
                  <c:v>61</c:v>
                </c:pt>
                <c:pt idx="4">
                  <c:v>51</c:v>
                </c:pt>
                <c:pt idx="5">
                  <c:v>41</c:v>
                </c:pt>
                <c:pt idx="6">
                  <c:v>31</c:v>
                </c:pt>
                <c:pt idx="7">
                  <c:v>21</c:v>
                </c:pt>
                <c:pt idx="8">
                  <c:v>11</c:v>
                </c:pt>
                <c:pt idx="9">
                  <c:v>1</c:v>
                </c:pt>
                <c:pt idx="10">
                  <c:v>-9</c:v>
                </c:pt>
                <c:pt idx="11">
                  <c:v>1</c:v>
                </c:pt>
                <c:pt idx="12">
                  <c:v>11</c:v>
                </c:pt>
                <c:pt idx="13">
                  <c:v>21</c:v>
                </c:pt>
                <c:pt idx="14">
                  <c:v>31</c:v>
                </c:pt>
                <c:pt idx="15">
                  <c:v>41</c:v>
                </c:pt>
                <c:pt idx="16">
                  <c:v>51</c:v>
                </c:pt>
                <c:pt idx="17">
                  <c:v>61</c:v>
                </c:pt>
                <c:pt idx="18">
                  <c:v>71</c:v>
                </c:pt>
                <c:pt idx="19">
                  <c:v>81</c:v>
                </c:pt>
                <c:pt idx="20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B7-4ABD-8667-2A783F4B5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2550991"/>
        <c:axId val="62551471"/>
      </c:lineChart>
      <c:catAx>
        <c:axId val="6255099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551471"/>
        <c:crosses val="autoZero"/>
        <c:auto val="1"/>
        <c:lblAlgn val="ctr"/>
        <c:lblOffset val="100"/>
        <c:noMultiLvlLbl val="0"/>
      </c:catAx>
      <c:valAx>
        <c:axId val="62551471"/>
        <c:scaling>
          <c:orientation val="minMax"/>
        </c:scaling>
        <c:delete val="0"/>
        <c:axPos val="l"/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55099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 del Ejercicio Vs Beneficios Totales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Simulación!$F$10</c:f>
              <c:strCache>
                <c:ptCount val="1"/>
                <c:pt idx="0">
                  <c:v> Distancia a E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Simulación!$E$11:$E$31</c:f>
              <c:numCache>
                <c:formatCode>0%</c:formatCode>
                <c:ptCount val="21"/>
                <c:pt idx="0">
                  <c:v>10.111111111111111</c:v>
                </c:pt>
                <c:pt idx="1">
                  <c:v>9</c:v>
                </c:pt>
                <c:pt idx="2">
                  <c:v>7.8888888888888893</c:v>
                </c:pt>
                <c:pt idx="3">
                  <c:v>6.7777777777777777</c:v>
                </c:pt>
                <c:pt idx="4">
                  <c:v>5.666666666666667</c:v>
                </c:pt>
                <c:pt idx="5">
                  <c:v>4.5555555555555554</c:v>
                </c:pt>
                <c:pt idx="6">
                  <c:v>3.4444444444444446</c:v>
                </c:pt>
                <c:pt idx="7">
                  <c:v>2.3333333333333335</c:v>
                </c:pt>
                <c:pt idx="8">
                  <c:v>1.2222222222222223</c:v>
                </c:pt>
                <c:pt idx="9">
                  <c:v>0.1111111111111111</c:v>
                </c:pt>
                <c:pt idx="10">
                  <c:v>-1</c:v>
                </c:pt>
                <c:pt idx="11">
                  <c:v>0.1111111111111111</c:v>
                </c:pt>
                <c:pt idx="12">
                  <c:v>1.2222222222222223</c:v>
                </c:pt>
                <c:pt idx="13">
                  <c:v>2.3333333333333335</c:v>
                </c:pt>
                <c:pt idx="14">
                  <c:v>3.4444444444444446</c:v>
                </c:pt>
                <c:pt idx="15">
                  <c:v>4.5555555555555554</c:v>
                </c:pt>
                <c:pt idx="16">
                  <c:v>5.666666666666667</c:v>
                </c:pt>
                <c:pt idx="17">
                  <c:v>6.7777777777777777</c:v>
                </c:pt>
                <c:pt idx="18">
                  <c:v>7.8888888888888893</c:v>
                </c:pt>
                <c:pt idx="19">
                  <c:v>9</c:v>
                </c:pt>
                <c:pt idx="20">
                  <c:v>10.111111111111111</c:v>
                </c:pt>
              </c:numCache>
            </c:numRef>
          </c:xVal>
          <c:yVal>
            <c:numRef>
              <c:f>Simulación!$F$11:$F$31</c:f>
              <c:numCache>
                <c:formatCode>0%</c:formatCode>
                <c:ptCount val="2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D3-419F-9C90-9AACDBBE3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163183"/>
        <c:axId val="523156463"/>
      </c:scatterChart>
      <c:valAx>
        <c:axId val="52316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Beneficios Totales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3156463"/>
        <c:crosses val="autoZero"/>
        <c:crossBetween val="midCat"/>
      </c:valAx>
      <c:valAx>
        <c:axId val="52315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Distancia del precio del ejercicio 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316318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279400</xdr:colOff>
      <xdr:row>3</xdr:row>
      <xdr:rowOff>247650</xdr:rowOff>
    </xdr:from>
    <xdr:to>
      <xdr:col>11</xdr:col>
      <xdr:colOff>477214</xdr:colOff>
      <xdr:row>12</xdr:row>
      <xdr:rowOff>800100</xdr:rowOff>
    </xdr:to>
    <xdr:pic>
      <xdr:nvPicPr>
        <xdr:cNvPr id="2" name="Imagen 1" descr="straddle graph">
          <a:extLst>
            <a:ext uri="{FF2B5EF4-FFF2-40B4-BE49-F238E27FC236}">
              <a16:creationId xmlns:a16="http://schemas.microsoft.com/office/drawing/2014/main" id="{A0311F1E-312D-50B3-1524-02FDAF6C0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3650" y="1219200"/>
          <a:ext cx="4217364" cy="3022600"/>
        </a:xfrm>
        <a:prstGeom prst="rect">
          <a:avLst/>
        </a:prstGeom>
        <a:noFill/>
        <a:ln w="12700">
          <a:solidFill>
            <a:srgbClr val="C00000"/>
          </a:solidFill>
        </a:ln>
        <a:effectLst>
          <a:outerShdw blurRad="50800" dist="38100" dir="2700000" algn="tl" rotWithShape="0">
            <a:srgbClr val="C00000">
              <a:alpha val="4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707968</xdr:colOff>
      <xdr:row>5</xdr:row>
      <xdr:rowOff>71005</xdr:rowOff>
    </xdr:from>
    <xdr:to>
      <xdr:col>22</xdr:col>
      <xdr:colOff>616528</xdr:colOff>
      <xdr:row>23</xdr:row>
      <xdr:rowOff>110836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4716D6-E25C-8365-B98F-C5944F658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242454</xdr:colOff>
      <xdr:row>2</xdr:row>
      <xdr:rowOff>152400</xdr:rowOff>
    </xdr:from>
    <xdr:to>
      <xdr:col>15</xdr:col>
      <xdr:colOff>297873</xdr:colOff>
      <xdr:row>21</xdr:row>
      <xdr:rowOff>10391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3BE0346-2285-E5B1-302D-FD20E1A12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519545</xdr:colOff>
      <xdr:row>23</xdr:row>
      <xdr:rowOff>176644</xdr:rowOff>
    </xdr:from>
    <xdr:to>
      <xdr:col>15</xdr:col>
      <xdr:colOff>574964</xdr:colOff>
      <xdr:row>41</xdr:row>
      <xdr:rowOff>96982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11B473F-49BE-07F3-B591-7A7C4C360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087E7-46B2-4B3A-B386-4FF100072A37}">
  <dimension ref="B1:M14"/>
  <sheetViews>
    <sheetView showGridLines="0" zoomScale="120" zoomScaleNormal="120" workbookViewId="0">
      <pane ySplit="1" topLeftCell="A4" activePane="bottomLeft" state="frozen"/>
      <selection pane="bottomLeft" activeCell="B6" sqref="B6"/>
    </sheetView>
  </sheetViews>
  <sheetFormatPr baseColWidth="10" defaultRowHeight="14.4" x14ac:dyDescent="0.3"/>
  <cols>
    <col min="1" max="1" width="9" customWidth="1"/>
    <col min="2" max="2" width="14.6640625" customWidth="1"/>
    <col min="8" max="8" width="12.33203125" customWidth="1"/>
  </cols>
  <sheetData>
    <row r="1" spans="2:13" ht="43.2" customHeight="1" thickBot="1" x14ac:dyDescent="0.35">
      <c r="B1" s="5" t="s">
        <v>0</v>
      </c>
      <c r="C1" s="3"/>
      <c r="D1" s="3"/>
      <c r="E1" s="3"/>
      <c r="F1" s="3"/>
      <c r="G1" s="3"/>
      <c r="H1" s="4"/>
    </row>
    <row r="3" spans="2:13" ht="19.2" customHeight="1" x14ac:dyDescent="0.3">
      <c r="B3" s="6" t="s">
        <v>1</v>
      </c>
    </row>
    <row r="4" spans="2:13" ht="45.6" customHeight="1" x14ac:dyDescent="0.3">
      <c r="B4" s="27" t="s">
        <v>2</v>
      </c>
      <c r="C4" s="28"/>
      <c r="D4" s="28"/>
      <c r="E4" s="28"/>
      <c r="F4" s="29"/>
    </row>
    <row r="6" spans="2:13" x14ac:dyDescent="0.3">
      <c r="B6" s="6" t="s">
        <v>3</v>
      </c>
    </row>
    <row r="7" spans="2:13" x14ac:dyDescent="0.3">
      <c r="B7" s="7" t="s">
        <v>4</v>
      </c>
    </row>
    <row r="9" spans="2:13" x14ac:dyDescent="0.3">
      <c r="B9" s="6" t="s">
        <v>5</v>
      </c>
    </row>
    <row r="10" spans="2:13" ht="47.4" customHeight="1" x14ac:dyDescent="0.3">
      <c r="B10" s="27" t="s">
        <v>6</v>
      </c>
      <c r="C10" s="28"/>
      <c r="D10" s="28"/>
      <c r="E10" s="28"/>
      <c r="F10" s="29"/>
    </row>
    <row r="12" spans="2:13" x14ac:dyDescent="0.3">
      <c r="B12" s="6" t="s">
        <v>7</v>
      </c>
    </row>
    <row r="13" spans="2:13" ht="66" customHeight="1" x14ac:dyDescent="0.3">
      <c r="B13" s="27" t="s">
        <v>8</v>
      </c>
      <c r="C13" s="28"/>
      <c r="D13" s="28"/>
      <c r="E13" s="28"/>
      <c r="F13" s="29"/>
    </row>
    <row r="14" spans="2:13" ht="42.6" customHeight="1" x14ac:dyDescent="0.3">
      <c r="K14" s="30" t="s">
        <v>9</v>
      </c>
      <c r="L14" s="30"/>
      <c r="M14" s="30"/>
    </row>
  </sheetData>
  <mergeCells count="4">
    <mergeCell ref="B10:F10"/>
    <mergeCell ref="B4:F4"/>
    <mergeCell ref="B13:F13"/>
    <mergeCell ref="K14:M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9D28-9296-4982-A067-60B78CE94557}">
  <dimension ref="B1:H20"/>
  <sheetViews>
    <sheetView zoomScale="120" zoomScaleNormal="120" workbookViewId="0">
      <selection activeCell="B1" sqref="B1"/>
    </sheetView>
  </sheetViews>
  <sheetFormatPr baseColWidth="10" defaultRowHeight="14.4" x14ac:dyDescent="0.3"/>
  <sheetData>
    <row r="1" spans="2:8" ht="46.8" customHeight="1" thickBot="1" x14ac:dyDescent="0.35">
      <c r="B1" s="5" t="s">
        <v>0</v>
      </c>
      <c r="C1" s="1"/>
      <c r="D1" s="1"/>
      <c r="E1" s="1"/>
      <c r="F1" s="1"/>
      <c r="G1" s="1"/>
      <c r="H1" s="2"/>
    </row>
    <row r="3" spans="2:8" x14ac:dyDescent="0.3">
      <c r="B3" t="s">
        <v>10</v>
      </c>
    </row>
    <row r="4" spans="2:8" x14ac:dyDescent="0.3">
      <c r="B4" t="s">
        <v>11</v>
      </c>
    </row>
    <row r="6" spans="2:8" x14ac:dyDescent="0.3">
      <c r="B6" t="s">
        <v>12</v>
      </c>
    </row>
    <row r="8" spans="2:8" x14ac:dyDescent="0.3">
      <c r="B8" s="6" t="s">
        <v>13</v>
      </c>
    </row>
    <row r="9" spans="2:8" x14ac:dyDescent="0.3">
      <c r="B9" s="8" t="s">
        <v>16</v>
      </c>
    </row>
    <row r="10" spans="2:8" x14ac:dyDescent="0.3">
      <c r="B10" t="s">
        <v>14</v>
      </c>
    </row>
    <row r="11" spans="2:8" x14ac:dyDescent="0.3">
      <c r="B11" s="11" t="s">
        <v>7</v>
      </c>
      <c r="C11" s="10" t="s">
        <v>15</v>
      </c>
    </row>
    <row r="13" spans="2:8" x14ac:dyDescent="0.3">
      <c r="B13" s="8" t="s">
        <v>17</v>
      </c>
    </row>
    <row r="14" spans="2:8" x14ac:dyDescent="0.3">
      <c r="B14" t="s">
        <v>18</v>
      </c>
    </row>
    <row r="15" spans="2:8" x14ac:dyDescent="0.3">
      <c r="B15" s="11" t="s">
        <v>7</v>
      </c>
      <c r="C15" s="10" t="s">
        <v>19</v>
      </c>
    </row>
    <row r="18" spans="2:3" x14ac:dyDescent="0.3">
      <c r="B18" s="8" t="s">
        <v>20</v>
      </c>
    </row>
    <row r="19" spans="2:3" x14ac:dyDescent="0.3">
      <c r="B19" t="s">
        <v>23</v>
      </c>
    </row>
    <row r="20" spans="2:3" x14ac:dyDescent="0.3">
      <c r="B20" s="11" t="s">
        <v>21</v>
      </c>
      <c r="C20" s="10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03B61-9CC3-4062-A396-CB5D7CD8F16C}">
  <dimension ref="A1:H31"/>
  <sheetViews>
    <sheetView tabSelected="1" zoomScaleNormal="100" workbookViewId="0">
      <selection activeCell="B11" sqref="B11"/>
    </sheetView>
  </sheetViews>
  <sheetFormatPr baseColWidth="10" defaultRowHeight="14.4" x14ac:dyDescent="0.3"/>
  <sheetData>
    <row r="1" spans="1:8" ht="45" customHeight="1" x14ac:dyDescent="0.3">
      <c r="B1" s="12" t="s">
        <v>0</v>
      </c>
      <c r="C1" s="13"/>
      <c r="D1" s="13"/>
      <c r="E1" s="13"/>
      <c r="F1" s="13"/>
      <c r="G1" s="13"/>
      <c r="H1" s="9"/>
    </row>
    <row r="3" spans="1:8" x14ac:dyDescent="0.3">
      <c r="A3" s="14" t="s">
        <v>24</v>
      </c>
      <c r="B3" s="17">
        <v>100</v>
      </c>
    </row>
    <row r="4" spans="1:8" x14ac:dyDescent="0.3">
      <c r="A4" s="15" t="s">
        <v>25</v>
      </c>
      <c r="B4" s="18">
        <v>5</v>
      </c>
    </row>
    <row r="5" spans="1:8" x14ac:dyDescent="0.3">
      <c r="A5" s="16" t="s">
        <v>26</v>
      </c>
      <c r="B5" s="19">
        <v>4</v>
      </c>
    </row>
    <row r="10" spans="1:8" ht="24" customHeight="1" x14ac:dyDescent="0.3">
      <c r="A10" s="20" t="s">
        <v>27</v>
      </c>
      <c r="B10" s="21" t="s">
        <v>28</v>
      </c>
      <c r="C10" s="21" t="s">
        <v>29</v>
      </c>
      <c r="D10" s="21" t="s">
        <v>31</v>
      </c>
      <c r="E10" s="21" t="s">
        <v>30</v>
      </c>
      <c r="F10" s="22" t="s">
        <v>32</v>
      </c>
    </row>
    <row r="11" spans="1:8" x14ac:dyDescent="0.3">
      <c r="A11" s="26" cm="1">
        <f t="array" ref="A11:A31">_xlfn.SEQUENCE(21, 1, B3-100, 10)</f>
        <v>0</v>
      </c>
      <c r="B11" s="23">
        <f t="shared" ref="B11:B31" si="0">MAX(A11-E,0) -PrimaC</f>
        <v>-5</v>
      </c>
      <c r="C11" s="23">
        <f t="shared" ref="C11:C31" si="1">MAX(E-A11,0) - PrimaP</f>
        <v>96</v>
      </c>
      <c r="D11" s="23">
        <f t="shared" ref="D11:D31" si="2">IF(A11&lt;=E,E-A11-PrimaC-PrimaP,A11-E-PrimaC-PrimaP)</f>
        <v>91</v>
      </c>
      <c r="E11" s="24">
        <f t="shared" ref="E11:E31" si="3">D11/(PrimaC + PrimaP)</f>
        <v>10.111111111111111</v>
      </c>
      <c r="F11" s="25">
        <f t="shared" ref="F11:F31" si="4">ABS(A11-E)/E</f>
        <v>1</v>
      </c>
    </row>
    <row r="12" spans="1:8" x14ac:dyDescent="0.3">
      <c r="A12" s="26">
        <v>10</v>
      </c>
      <c r="B12" s="23">
        <f t="shared" si="0"/>
        <v>-5</v>
      </c>
      <c r="C12" s="23">
        <f t="shared" si="1"/>
        <v>86</v>
      </c>
      <c r="D12" s="23">
        <f t="shared" si="2"/>
        <v>81</v>
      </c>
      <c r="E12" s="24">
        <f t="shared" si="3"/>
        <v>9</v>
      </c>
      <c r="F12" s="25">
        <f t="shared" si="4"/>
        <v>0.9</v>
      </c>
    </row>
    <row r="13" spans="1:8" x14ac:dyDescent="0.3">
      <c r="A13" s="26">
        <v>20</v>
      </c>
      <c r="B13" s="23">
        <f t="shared" si="0"/>
        <v>-5</v>
      </c>
      <c r="C13" s="23">
        <f t="shared" si="1"/>
        <v>76</v>
      </c>
      <c r="D13" s="23">
        <f t="shared" si="2"/>
        <v>71</v>
      </c>
      <c r="E13" s="24">
        <f t="shared" si="3"/>
        <v>7.8888888888888893</v>
      </c>
      <c r="F13" s="25">
        <f t="shared" si="4"/>
        <v>0.8</v>
      </c>
    </row>
    <row r="14" spans="1:8" x14ac:dyDescent="0.3">
      <c r="A14" s="26">
        <v>30</v>
      </c>
      <c r="B14" s="23">
        <f t="shared" si="0"/>
        <v>-5</v>
      </c>
      <c r="C14" s="23">
        <f t="shared" si="1"/>
        <v>66</v>
      </c>
      <c r="D14" s="23">
        <f t="shared" si="2"/>
        <v>61</v>
      </c>
      <c r="E14" s="24">
        <f t="shared" si="3"/>
        <v>6.7777777777777777</v>
      </c>
      <c r="F14" s="25">
        <f t="shared" si="4"/>
        <v>0.7</v>
      </c>
    </row>
    <row r="15" spans="1:8" x14ac:dyDescent="0.3">
      <c r="A15" s="26">
        <v>40</v>
      </c>
      <c r="B15" s="23">
        <f t="shared" si="0"/>
        <v>-5</v>
      </c>
      <c r="C15" s="23">
        <f t="shared" si="1"/>
        <v>56</v>
      </c>
      <c r="D15" s="23">
        <f t="shared" si="2"/>
        <v>51</v>
      </c>
      <c r="E15" s="24">
        <f t="shared" si="3"/>
        <v>5.666666666666667</v>
      </c>
      <c r="F15" s="25">
        <f t="shared" si="4"/>
        <v>0.6</v>
      </c>
    </row>
    <row r="16" spans="1:8" x14ac:dyDescent="0.3">
      <c r="A16" s="26">
        <v>50</v>
      </c>
      <c r="B16" s="23">
        <f t="shared" si="0"/>
        <v>-5</v>
      </c>
      <c r="C16" s="23">
        <f t="shared" si="1"/>
        <v>46</v>
      </c>
      <c r="D16" s="23">
        <f t="shared" si="2"/>
        <v>41</v>
      </c>
      <c r="E16" s="24">
        <f t="shared" si="3"/>
        <v>4.5555555555555554</v>
      </c>
      <c r="F16" s="25">
        <f t="shared" si="4"/>
        <v>0.5</v>
      </c>
    </row>
    <row r="17" spans="1:6" x14ac:dyDescent="0.3">
      <c r="A17" s="26">
        <v>60</v>
      </c>
      <c r="B17" s="23">
        <f t="shared" si="0"/>
        <v>-5</v>
      </c>
      <c r="C17" s="23">
        <f t="shared" si="1"/>
        <v>36</v>
      </c>
      <c r="D17" s="23">
        <f t="shared" si="2"/>
        <v>31</v>
      </c>
      <c r="E17" s="24">
        <f t="shared" si="3"/>
        <v>3.4444444444444446</v>
      </c>
      <c r="F17" s="25">
        <f t="shared" si="4"/>
        <v>0.4</v>
      </c>
    </row>
    <row r="18" spans="1:6" x14ac:dyDescent="0.3">
      <c r="A18" s="26">
        <v>70</v>
      </c>
      <c r="B18" s="23">
        <f t="shared" si="0"/>
        <v>-5</v>
      </c>
      <c r="C18" s="23">
        <f t="shared" si="1"/>
        <v>26</v>
      </c>
      <c r="D18" s="23">
        <f t="shared" si="2"/>
        <v>21</v>
      </c>
      <c r="E18" s="24">
        <f t="shared" si="3"/>
        <v>2.3333333333333335</v>
      </c>
      <c r="F18" s="25">
        <f t="shared" si="4"/>
        <v>0.3</v>
      </c>
    </row>
    <row r="19" spans="1:6" x14ac:dyDescent="0.3">
      <c r="A19" s="26">
        <v>80</v>
      </c>
      <c r="B19" s="23">
        <f t="shared" si="0"/>
        <v>-5</v>
      </c>
      <c r="C19" s="23">
        <f t="shared" si="1"/>
        <v>16</v>
      </c>
      <c r="D19" s="23">
        <f t="shared" si="2"/>
        <v>11</v>
      </c>
      <c r="E19" s="24">
        <f t="shared" si="3"/>
        <v>1.2222222222222223</v>
      </c>
      <c r="F19" s="25">
        <f t="shared" si="4"/>
        <v>0.2</v>
      </c>
    </row>
    <row r="20" spans="1:6" x14ac:dyDescent="0.3">
      <c r="A20" s="26">
        <v>90</v>
      </c>
      <c r="B20" s="23">
        <f t="shared" si="0"/>
        <v>-5</v>
      </c>
      <c r="C20" s="23">
        <f t="shared" si="1"/>
        <v>6</v>
      </c>
      <c r="D20" s="23">
        <f t="shared" si="2"/>
        <v>1</v>
      </c>
      <c r="E20" s="24">
        <f t="shared" si="3"/>
        <v>0.1111111111111111</v>
      </c>
      <c r="F20" s="25">
        <f t="shared" si="4"/>
        <v>0.1</v>
      </c>
    </row>
    <row r="21" spans="1:6" x14ac:dyDescent="0.3">
      <c r="A21" s="26">
        <v>100</v>
      </c>
      <c r="B21" s="23">
        <f t="shared" si="0"/>
        <v>-5</v>
      </c>
      <c r="C21" s="23">
        <f t="shared" si="1"/>
        <v>-4</v>
      </c>
      <c r="D21" s="23">
        <f t="shared" si="2"/>
        <v>-9</v>
      </c>
      <c r="E21" s="24">
        <f t="shared" si="3"/>
        <v>-1</v>
      </c>
      <c r="F21" s="25">
        <f t="shared" si="4"/>
        <v>0</v>
      </c>
    </row>
    <row r="22" spans="1:6" x14ac:dyDescent="0.3">
      <c r="A22" s="26">
        <v>110</v>
      </c>
      <c r="B22" s="23">
        <f t="shared" si="0"/>
        <v>5</v>
      </c>
      <c r="C22" s="23">
        <f t="shared" si="1"/>
        <v>-4</v>
      </c>
      <c r="D22" s="23">
        <f t="shared" si="2"/>
        <v>1</v>
      </c>
      <c r="E22" s="24">
        <f t="shared" si="3"/>
        <v>0.1111111111111111</v>
      </c>
      <c r="F22" s="25">
        <f t="shared" si="4"/>
        <v>0.1</v>
      </c>
    </row>
    <row r="23" spans="1:6" x14ac:dyDescent="0.3">
      <c r="A23" s="26">
        <v>120</v>
      </c>
      <c r="B23" s="23">
        <f t="shared" si="0"/>
        <v>15</v>
      </c>
      <c r="C23" s="23">
        <f t="shared" si="1"/>
        <v>-4</v>
      </c>
      <c r="D23" s="23">
        <f t="shared" si="2"/>
        <v>11</v>
      </c>
      <c r="E23" s="24">
        <f t="shared" si="3"/>
        <v>1.2222222222222223</v>
      </c>
      <c r="F23" s="25">
        <f t="shared" si="4"/>
        <v>0.2</v>
      </c>
    </row>
    <row r="24" spans="1:6" x14ac:dyDescent="0.3">
      <c r="A24" s="26">
        <v>130</v>
      </c>
      <c r="B24" s="23">
        <f t="shared" si="0"/>
        <v>25</v>
      </c>
      <c r="C24" s="23">
        <f t="shared" si="1"/>
        <v>-4</v>
      </c>
      <c r="D24" s="23">
        <f t="shared" si="2"/>
        <v>21</v>
      </c>
      <c r="E24" s="24">
        <f t="shared" si="3"/>
        <v>2.3333333333333335</v>
      </c>
      <c r="F24" s="25">
        <f t="shared" si="4"/>
        <v>0.3</v>
      </c>
    </row>
    <row r="25" spans="1:6" x14ac:dyDescent="0.3">
      <c r="A25" s="26">
        <v>140</v>
      </c>
      <c r="B25" s="23">
        <f t="shared" si="0"/>
        <v>35</v>
      </c>
      <c r="C25" s="23">
        <f t="shared" si="1"/>
        <v>-4</v>
      </c>
      <c r="D25" s="23">
        <f t="shared" si="2"/>
        <v>31</v>
      </c>
      <c r="E25" s="24">
        <f t="shared" si="3"/>
        <v>3.4444444444444446</v>
      </c>
      <c r="F25" s="25">
        <f t="shared" si="4"/>
        <v>0.4</v>
      </c>
    </row>
    <row r="26" spans="1:6" x14ac:dyDescent="0.3">
      <c r="A26" s="26">
        <v>150</v>
      </c>
      <c r="B26" s="23">
        <f t="shared" si="0"/>
        <v>45</v>
      </c>
      <c r="C26" s="23">
        <f t="shared" si="1"/>
        <v>-4</v>
      </c>
      <c r="D26" s="23">
        <f t="shared" si="2"/>
        <v>41</v>
      </c>
      <c r="E26" s="24">
        <f t="shared" si="3"/>
        <v>4.5555555555555554</v>
      </c>
      <c r="F26" s="25">
        <f t="shared" si="4"/>
        <v>0.5</v>
      </c>
    </row>
    <row r="27" spans="1:6" x14ac:dyDescent="0.3">
      <c r="A27" s="26">
        <v>160</v>
      </c>
      <c r="B27" s="23">
        <f t="shared" si="0"/>
        <v>55</v>
      </c>
      <c r="C27" s="23">
        <f t="shared" si="1"/>
        <v>-4</v>
      </c>
      <c r="D27" s="23">
        <f t="shared" si="2"/>
        <v>51</v>
      </c>
      <c r="E27" s="24">
        <f t="shared" si="3"/>
        <v>5.666666666666667</v>
      </c>
      <c r="F27" s="25">
        <f t="shared" si="4"/>
        <v>0.6</v>
      </c>
    </row>
    <row r="28" spans="1:6" x14ac:dyDescent="0.3">
      <c r="A28" s="26">
        <v>170</v>
      </c>
      <c r="B28" s="23">
        <f t="shared" si="0"/>
        <v>65</v>
      </c>
      <c r="C28" s="23">
        <f t="shared" si="1"/>
        <v>-4</v>
      </c>
      <c r="D28" s="23">
        <f t="shared" si="2"/>
        <v>61</v>
      </c>
      <c r="E28" s="24">
        <f t="shared" si="3"/>
        <v>6.7777777777777777</v>
      </c>
      <c r="F28" s="25">
        <f t="shared" si="4"/>
        <v>0.7</v>
      </c>
    </row>
    <row r="29" spans="1:6" x14ac:dyDescent="0.3">
      <c r="A29" s="26">
        <v>180</v>
      </c>
      <c r="B29" s="23">
        <f t="shared" si="0"/>
        <v>75</v>
      </c>
      <c r="C29" s="23">
        <f t="shared" si="1"/>
        <v>-4</v>
      </c>
      <c r="D29" s="23">
        <f t="shared" si="2"/>
        <v>71</v>
      </c>
      <c r="E29" s="24">
        <f t="shared" si="3"/>
        <v>7.8888888888888893</v>
      </c>
      <c r="F29" s="25">
        <f t="shared" si="4"/>
        <v>0.8</v>
      </c>
    </row>
    <row r="30" spans="1:6" x14ac:dyDescent="0.3">
      <c r="A30" s="26">
        <v>190</v>
      </c>
      <c r="B30" s="23">
        <f t="shared" si="0"/>
        <v>85</v>
      </c>
      <c r="C30" s="23">
        <f t="shared" si="1"/>
        <v>-4</v>
      </c>
      <c r="D30" s="23">
        <f t="shared" si="2"/>
        <v>81</v>
      </c>
      <c r="E30" s="24">
        <f t="shared" si="3"/>
        <v>9</v>
      </c>
      <c r="F30" s="25">
        <f t="shared" si="4"/>
        <v>0.9</v>
      </c>
    </row>
    <row r="31" spans="1:6" x14ac:dyDescent="0.3">
      <c r="A31" s="26">
        <v>200</v>
      </c>
      <c r="B31" s="23">
        <f t="shared" si="0"/>
        <v>95</v>
      </c>
      <c r="C31" s="23">
        <f t="shared" si="1"/>
        <v>-4</v>
      </c>
      <c r="D31" s="23">
        <f t="shared" si="2"/>
        <v>91</v>
      </c>
      <c r="E31" s="24">
        <f t="shared" si="3"/>
        <v>10.111111111111111</v>
      </c>
      <c r="F31" s="25">
        <f t="shared" si="4"/>
        <v>1</v>
      </c>
    </row>
  </sheetData>
  <scenarios current="0" show="0" sqref="E11:E30">
    <scenario name="Straddle_1" locked="1" count="3" user="Ing. Javier Blanco" comment="E = 250, Call = 15,20 y Put = 15,10">
      <inputCells r="B3" val="250" numFmtId="44"/>
      <inputCells r="B4" val="15,2" numFmtId="44"/>
      <inputCells r="B5" val="15,1" numFmtId="44"/>
    </scenario>
    <scenario name="Straddle 2" locked="1" count="3" user="Ing. Javier Blanco" comment="C= 5€, E= 100€, P= 4€.">
      <inputCells r="B3" val="100" numFmtId="44"/>
      <inputCells r="B4" val="5" numFmtId="44"/>
      <inputCells r="B5" val="4" numFmtId="44"/>
    </scenario>
  </scenarios>
  <conditionalFormatting sqref="B11:F3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Fundamento</vt:lpstr>
      <vt:lpstr>Análisis</vt:lpstr>
      <vt:lpstr>Simulación</vt:lpstr>
      <vt:lpstr>E</vt:lpstr>
      <vt:lpstr>PrimaC</vt:lpstr>
      <vt:lpstr>PrimaP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iv521</dc:creator>
  <cp:lastModifiedBy>iv521</cp:lastModifiedBy>
  <dcterms:created xsi:type="dcterms:W3CDTF">2024-04-12T14:01:16Z</dcterms:created>
  <dcterms:modified xsi:type="dcterms:W3CDTF">2024-04-16T17:51:45Z</dcterms:modified>
</cp:coreProperties>
</file>